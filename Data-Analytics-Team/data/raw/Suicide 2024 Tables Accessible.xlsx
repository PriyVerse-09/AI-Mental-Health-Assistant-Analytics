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drawings/drawing5.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7.xml" ContentType="application/vnd.openxmlformats-officedocument.drawing+xml"/>
  <Override PartName="/xl/tables/table15.xml" ContentType="application/vnd.openxmlformats-officedocument.spreadsheetml.table+xml"/>
  <Override PartName="/xl/drawings/drawing8.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9.xml" ContentType="application/vnd.openxmlformats-officedocument.drawing+xml"/>
  <Override PartName="/xl/tables/table19.xml" ContentType="application/vnd.openxmlformats-officedocument.spreadsheetml.tab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1305467\Desktop\"/>
    </mc:Choice>
  </mc:AlternateContent>
  <xr:revisionPtr revIDLastSave="0" documentId="8_{78CD74DF-6D45-4784-905D-162A643130B3}" xr6:coauthVersionLast="47" xr6:coauthVersionMax="47" xr10:uidLastSave="{00000000-0000-0000-0000-000000000000}"/>
  <bookViews>
    <workbookView xWindow="-28920" yWindow="-120" windowWidth="29040" windowHeight="15720" tabRatio="848" xr2:uid="{00000000-000D-0000-FFFF-FFFF00000000}"/>
  </bookViews>
  <sheets>
    <sheet name="Cover Sheet" sheetId="32" r:id="rId1"/>
    <sheet name="Guidance" sheetId="33" r:id="rId2"/>
    <sheet name="Table List" sheetId="4" r:id="rId3"/>
    <sheet name="Notes" sheetId="82" r:id="rId4"/>
    <sheet name="Table1" sheetId="28" r:id="rId5"/>
    <sheet name="Figure1" sheetId="57" r:id="rId6"/>
    <sheet name="Table2" sheetId="46" r:id="rId7"/>
    <sheet name="Figure2" sheetId="58" r:id="rId8"/>
    <sheet name="Table3" sheetId="80" r:id="rId9"/>
    <sheet name="Figure3" sheetId="67" r:id="rId10"/>
    <sheet name="Table4" sheetId="49" r:id="rId11"/>
    <sheet name="Figure4" sheetId="59" r:id="rId12"/>
    <sheet name="Table5" sheetId="12" r:id="rId13"/>
    <sheet name="Table6" sheetId="5" r:id="rId14"/>
    <sheet name="Table7" sheetId="38" r:id="rId15"/>
    <sheet name="Table8" sheetId="64" r:id="rId16"/>
    <sheet name="Figure5" sheetId="60" r:id="rId17"/>
    <sheet name="Table9" sheetId="8" r:id="rId18"/>
    <sheet name="Table10" sheetId="10" r:id="rId19"/>
    <sheet name="Table11" sheetId="14" r:id="rId20"/>
    <sheet name="Table12" sheetId="56" r:id="rId21"/>
    <sheet name="Figure6" sheetId="61" r:id="rId22"/>
    <sheet name="Table13" sheetId="78" r:id="rId23"/>
    <sheet name="Figure7" sheetId="62" r:id="rId24"/>
    <sheet name="Table14" sheetId="36" r:id="rId25"/>
    <sheet name="Table15" sheetId="37" r:id="rId26"/>
    <sheet name="Table16" sheetId="55" r:id="rId27"/>
    <sheet name="Figure8" sheetId="63" r:id="rId28"/>
    <sheet name="Table17" sheetId="53" r:id="rId29"/>
    <sheet name="Figure 9" sheetId="83"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2" l="1"/>
  <c r="B13" i="12"/>
  <c r="B12" i="12"/>
  <c r="B11" i="12"/>
  <c r="B10" i="12"/>
  <c r="B9" i="12"/>
  <c r="B8" i="12"/>
  <c r="B7" i="12"/>
  <c r="B6" i="12"/>
</calcChain>
</file>

<file path=xl/sharedStrings.xml><?xml version="1.0" encoding="utf-8"?>
<sst xmlns="http://schemas.openxmlformats.org/spreadsheetml/2006/main" count="746" uniqueCount="340">
  <si>
    <t>20-24</t>
  </si>
  <si>
    <t>25-29</t>
  </si>
  <si>
    <t>30-34</t>
  </si>
  <si>
    <t>35-39</t>
  </si>
  <si>
    <t>40-44</t>
  </si>
  <si>
    <t>45-49</t>
  </si>
  <si>
    <t>50-54</t>
  </si>
  <si>
    <t>55-59</t>
  </si>
  <si>
    <t>60-64</t>
  </si>
  <si>
    <t>65-69</t>
  </si>
  <si>
    <t>70-74</t>
  </si>
  <si>
    <t>Registration Year</t>
  </si>
  <si>
    <t>Male</t>
  </si>
  <si>
    <t>Female</t>
  </si>
  <si>
    <t>-</t>
  </si>
  <si>
    <t>Belfast</t>
  </si>
  <si>
    <t>Total</t>
  </si>
  <si>
    <t>District Council</t>
  </si>
  <si>
    <t>Antrim &amp; Newtownabbey</t>
  </si>
  <si>
    <t>Armagh City, Banbridge &amp; Craigavon</t>
  </si>
  <si>
    <t>Causeway Coast &amp; Glens</t>
  </si>
  <si>
    <t>Derry City &amp; Strabane</t>
  </si>
  <si>
    <t>Fermanagh &amp; Omagh</t>
  </si>
  <si>
    <t>Lisburn &amp; Castlereagh</t>
  </si>
  <si>
    <t>Mid &amp; East Antrim</t>
  </si>
  <si>
    <t>Mid Ulster</t>
  </si>
  <si>
    <t>Newry, Mourne &amp; Down</t>
  </si>
  <si>
    <t>Ards &amp; North Down</t>
  </si>
  <si>
    <t>Northern Ireland</t>
  </si>
  <si>
    <t>North Down</t>
  </si>
  <si>
    <t>Parliamentary Constituency</t>
  </si>
  <si>
    <t>Belfast East</t>
  </si>
  <si>
    <t>Belfast North</t>
  </si>
  <si>
    <t>Belfast South</t>
  </si>
  <si>
    <t>Belfast West</t>
  </si>
  <si>
    <t>East Antrim</t>
  </si>
  <si>
    <t>East Londonderry</t>
  </si>
  <si>
    <t>Fermanagh and South Tyrone</t>
  </si>
  <si>
    <t>Foyle</t>
  </si>
  <si>
    <t>Lagan Valley</t>
  </si>
  <si>
    <t>Newry and Armagh</t>
  </si>
  <si>
    <t>North Antrim</t>
  </si>
  <si>
    <t>South Antrim</t>
  </si>
  <si>
    <t>South Down</t>
  </si>
  <si>
    <t>Strangford</t>
  </si>
  <si>
    <t>Upper Bann</t>
  </si>
  <si>
    <t>West Tyrone</t>
  </si>
  <si>
    <t>Belfast Metropolitan Urban Area</t>
  </si>
  <si>
    <t>2004</t>
  </si>
  <si>
    <t>2005</t>
  </si>
  <si>
    <t>2006</t>
  </si>
  <si>
    <t>2007</t>
  </si>
  <si>
    <t>2008</t>
  </si>
  <si>
    <t>Table 1</t>
  </si>
  <si>
    <t>Table 2</t>
  </si>
  <si>
    <t>Table 3</t>
  </si>
  <si>
    <t>Table 4</t>
  </si>
  <si>
    <t>Table 5</t>
  </si>
  <si>
    <t>Table 8</t>
  </si>
  <si>
    <t>Table 9</t>
  </si>
  <si>
    <t>Table 10</t>
  </si>
  <si>
    <t>Table 11</t>
  </si>
  <si>
    <t>2009</t>
  </si>
  <si>
    <t>2010</t>
  </si>
  <si>
    <t>2011</t>
  </si>
  <si>
    <t>2012</t>
  </si>
  <si>
    <t>2013</t>
  </si>
  <si>
    <t>2014</t>
  </si>
  <si>
    <t>2019</t>
  </si>
  <si>
    <t>Urban Rural Classification</t>
  </si>
  <si>
    <t>East of Northern Ireland - Urban</t>
  </si>
  <si>
    <t>West of Northern Ireland - Rural</t>
  </si>
  <si>
    <t>Total Rural</t>
  </si>
  <si>
    <t>Total Urban</t>
  </si>
  <si>
    <t>East of Northern Ireland - Rural</t>
  </si>
  <si>
    <t>West of Northern Ireland - Urban</t>
  </si>
  <si>
    <t>2015</t>
  </si>
  <si>
    <t>2016</t>
  </si>
  <si>
    <t>2017</t>
  </si>
  <si>
    <t>2018</t>
  </si>
  <si>
    <t>Intentional self-harm</t>
  </si>
  <si>
    <t>X60-X84</t>
  </si>
  <si>
    <t>Y10-Y34</t>
  </si>
  <si>
    <t>2020</t>
  </si>
  <si>
    <t>Contact Information</t>
  </si>
  <si>
    <t>If you have any queries about this publication please contact our Customer Services Section at:</t>
  </si>
  <si>
    <t>Customer Services</t>
  </si>
  <si>
    <t>Northern Ireland Statistics and Research Agency</t>
  </si>
  <si>
    <t>Colby House</t>
  </si>
  <si>
    <t>Stranmillis Court</t>
  </si>
  <si>
    <t>Belfast BT9 5RR</t>
  </si>
  <si>
    <t>Phone: +44 (0)300 200 7836</t>
  </si>
  <si>
    <t xml:space="preserve">email: info@nisra.gov.uk </t>
  </si>
  <si>
    <t>User Feedback</t>
  </si>
  <si>
    <t>We are constantly trying to improve our service and would like to hear your feedback on how we are doing.</t>
  </si>
  <si>
    <t>Would you like to sign up to our User List to receive info on our latest releases?</t>
  </si>
  <si>
    <t>Add Me to the User list</t>
  </si>
  <si>
    <t>Guidelines on the use and reporting of data on suicide registrations</t>
  </si>
  <si>
    <t>Codes</t>
  </si>
  <si>
    <t xml:space="preserve">Description </t>
  </si>
  <si>
    <t>Notes</t>
  </si>
  <si>
    <t>Persons aged 10 years and above</t>
  </si>
  <si>
    <t>Injury/poisoning of undetermined intent</t>
  </si>
  <si>
    <t>ONS bulletin</t>
  </si>
  <si>
    <t>Quarterly suicide death registrations in England</t>
  </si>
  <si>
    <t>NRS</t>
  </si>
  <si>
    <t>NISRA</t>
  </si>
  <si>
    <t>Suicide registrations in Northern Ireland</t>
  </si>
  <si>
    <t>MOJ</t>
  </si>
  <si>
    <t>Coroners Statistics for England and Wales</t>
  </si>
  <si>
    <t>ONS article</t>
  </si>
  <si>
    <t>Suicide by occupation, England: 2011 to 2015</t>
  </si>
  <si>
    <t>Suicide in Wales since 1981</t>
  </si>
  <si>
    <t>Middle-aged generation most likely to die by suicide and drug poisoning</t>
  </si>
  <si>
    <t>Who is most at risk of suicide?</t>
  </si>
  <si>
    <t>Recent trends in suicide: death occurrences in England and Wales between 2001 and 2018</t>
  </si>
  <si>
    <t>Change in the standard of proof used by coroners and the impact on suicide death registrations data in England and Wales</t>
  </si>
  <si>
    <t>Inaccurate use and reporting of data on suicide can have damaging consequences such as causing unnecessary or inappropriate concerns. The following information will provide</t>
  </si>
  <si>
    <t xml:space="preserve">support for anyone affected by the themes in the article. Samaritans' media guidelines were produced following consultation with journalists and editors throughout the industry. </t>
  </si>
  <si>
    <t>Hanging</t>
  </si>
  <si>
    <t>Other</t>
  </si>
  <si>
    <t>All</t>
  </si>
  <si>
    <t>Northern</t>
  </si>
  <si>
    <t>South Eastern</t>
  </si>
  <si>
    <t>Southern</t>
  </si>
  <si>
    <t>Western</t>
  </si>
  <si>
    <t>Sex</t>
  </si>
  <si>
    <t>Further information can be found at the following websites.</t>
  </si>
  <si>
    <t xml:space="preserve">ONS bulletin </t>
  </si>
  <si>
    <t>details regarding the suicide registrations data in NI, including where the data came from and some advice on usage. Any journalist covering a suicide related issue, should consider</t>
  </si>
  <si>
    <t>Box 1. The National Statistics definition of suicide based on codes from the International Classification of Diseases (ICD), Northern Ireland</t>
  </si>
  <si>
    <t>&lt;20</t>
  </si>
  <si>
    <t>75+</t>
  </si>
  <si>
    <t>Suicide Rate</t>
  </si>
  <si>
    <t>Table 12</t>
  </si>
  <si>
    <t>Table 13</t>
  </si>
  <si>
    <t>Table 14</t>
  </si>
  <si>
    <t xml:space="preserve">In NI when a death is unexpected or suspected as suicide, the death is referred to the Coroner.  The Coroner Investigates and decides on the cause of death.  This process can 
</t>
  </si>
  <si>
    <t>Revision of Suicide Statistical Series in NI</t>
  </si>
  <si>
    <t xml:space="preserve">In May 2022 NISRA published a revised suicide series for NI following the completion of the Review of Suicide Statistics in Northern Ireland, which was undertaken in 
</t>
  </si>
  <si>
    <t xml:space="preserve">conjunction with the Coroner’s Service for Northern Ireland (CSNI). The review was considered necessary following the identification of a classification issue in published statistics </t>
  </si>
  <si>
    <t>from 2015 to 2020 with both Coroners systems and also within NISRA Processes.</t>
  </si>
  <si>
    <t xml:space="preserve">2020 data as well as some non-drug related cases from 2015-2019.  As a result, the suicide series in NI was revised downwards and a break in series between 2014 and 2015 
</t>
  </si>
  <si>
    <t xml:space="preserve">was introduced due to the impact of both the classification correction and the change in the standard of proof already discussed.  </t>
  </si>
  <si>
    <r>
      <t xml:space="preserve">For quality and methodology information relating to death statistics in NI please read the </t>
    </r>
    <r>
      <rPr>
        <i/>
        <sz val="10"/>
        <rFont val="Calibri"/>
        <family val="2"/>
        <scheme val="minor"/>
      </rPr>
      <t/>
    </r>
  </si>
  <si>
    <t>2021</t>
  </si>
  <si>
    <t>Table</t>
  </si>
  <si>
    <t>Drug poisoning</t>
  </si>
  <si>
    <t>Figure 1</t>
  </si>
  <si>
    <t>Figure 2</t>
  </si>
  <si>
    <t>Figure 3</t>
  </si>
  <si>
    <t>Figure 4</t>
  </si>
  <si>
    <t>Table 15</t>
  </si>
  <si>
    <t>Table 16</t>
  </si>
  <si>
    <t>Table name</t>
  </si>
  <si>
    <t>ASMR-Male</t>
  </si>
  <si>
    <t>ASMR-Female</t>
  </si>
  <si>
    <t>Method of suicide</t>
  </si>
  <si>
    <t>Occurrence Year</t>
  </si>
  <si>
    <t>Registration-Male</t>
  </si>
  <si>
    <t>Registration - Female</t>
  </si>
  <si>
    <t>Occurrence-Male</t>
  </si>
  <si>
    <t>Occurrence-Female</t>
  </si>
  <si>
    <t>2022</t>
  </si>
  <si>
    <t>Number and Rate</t>
  </si>
  <si>
    <t>Number of Suicides</t>
  </si>
  <si>
    <t>Married</t>
  </si>
  <si>
    <t>Divorced</t>
  </si>
  <si>
    <t>Widowed</t>
  </si>
  <si>
    <t>ASMR - Total</t>
  </si>
  <si>
    <t>Table 17</t>
  </si>
  <si>
    <t>Single</t>
  </si>
  <si>
    <t>Table 6</t>
  </si>
  <si>
    <t>Table 7</t>
  </si>
  <si>
    <t xml:space="preserve">Figure 5 </t>
  </si>
  <si>
    <t>Figure 6</t>
  </si>
  <si>
    <t>Figure 7</t>
  </si>
  <si>
    <t>Accredited official statistics are called National Statistics in the Statistics and Registration Service Act 2007 (https://osr.statisticsauthority.gov.uk/accredited-official-statistics/).</t>
  </si>
  <si>
    <t>Notes related to the data in this spreadsheet</t>
  </si>
  <si>
    <t xml:space="preserve">Footnote number </t>
  </si>
  <si>
    <t xml:space="preserve">Footnote text </t>
  </si>
  <si>
    <t>Note 1</t>
  </si>
  <si>
    <t>Note 2</t>
  </si>
  <si>
    <t>Note 3</t>
  </si>
  <si>
    <t>Note 5</t>
  </si>
  <si>
    <t>Note 6</t>
  </si>
  <si>
    <t>Note 7</t>
  </si>
  <si>
    <t>Note 8</t>
  </si>
  <si>
    <t>Note 9</t>
  </si>
  <si>
    <t>Note 10</t>
  </si>
  <si>
    <t>Note 11</t>
  </si>
  <si>
    <t>Marriage includes Civil Partnerships. Divorce includes Civil Partnership dissolutions. Single includes deaths of those under 16 years of age.</t>
  </si>
  <si>
    <t>The deaths of those whose usual residence is outside Northern Ireland are included in national and sub-national figures for Northern Ireland, based on where the death occurred.</t>
  </si>
  <si>
    <t>All suicides are referred to the coroner.  These deaths can take time to be fully investigated therefore there is often a period of time between when the suicide occurs and when it is registered.  For this reason the data for the occurrence years should be treated with caution as it is likely these numbers will be subject to significant change. The median is provided in days.</t>
  </si>
  <si>
    <r>
      <t>NISRA, working with the Coroners Service, began to review and revise individual undetermined drug related deaths from 2015 to 2018. This</t>
    </r>
    <r>
      <rPr>
        <u/>
        <sz val="12"/>
        <color indexed="12"/>
        <rFont val="Calibri"/>
        <family val="2"/>
        <scheme val="minor"/>
      </rPr>
      <t xml:space="preserve"> review </t>
    </r>
    <r>
      <rPr>
        <sz val="12"/>
        <rFont val="Calibri"/>
        <family val="2"/>
        <scheme val="minor"/>
      </rPr>
      <t>was later extended to include</t>
    </r>
  </si>
  <si>
    <t>Freeze panes are turned on. To turn off freeze panes select the 'View' ribbon then 'Freeze Panes' then 'Unfreeze Panes' or use [Alt W, F]</t>
  </si>
  <si>
    <r>
      <t>This sheet contains one table. The table title may refer to notes which can be found on the</t>
    </r>
    <r>
      <rPr>
        <u/>
        <sz val="12"/>
        <color rgb="FF0070C0"/>
        <rFont val="Calibri"/>
        <family val="2"/>
        <scheme val="minor"/>
      </rPr>
      <t xml:space="preserve"> </t>
    </r>
    <r>
      <rPr>
        <u/>
        <sz val="12"/>
        <color rgb="FF0000FF"/>
        <rFont val="Calibri"/>
        <family val="2"/>
        <scheme val="minor"/>
      </rPr>
      <t>notes</t>
    </r>
    <r>
      <rPr>
        <sz val="12"/>
        <rFont val="Calibri"/>
        <family val="2"/>
        <scheme val="minor"/>
      </rPr>
      <t xml:space="preserve"> worksheet. </t>
    </r>
  </si>
  <si>
    <r>
      <rPr>
        <sz val="12"/>
        <rFont val="Calibri"/>
        <family val="2"/>
      </rPr>
      <t xml:space="preserve">Please press here to return to the worksheet containing the </t>
    </r>
    <r>
      <rPr>
        <u/>
        <sz val="12"/>
        <color rgb="FF0000FF"/>
        <rFont val="Calibri"/>
        <family val="2"/>
      </rPr>
      <t>Table list.</t>
    </r>
  </si>
  <si>
    <t>Registration Year v Occurrence Year</t>
  </si>
  <si>
    <t>Figure 9</t>
  </si>
  <si>
    <t>Figure 8</t>
  </si>
  <si>
    <t>2023</t>
  </si>
  <si>
    <t>Information on the quality of the administrative deaths data produced and published by NISRA is available from the QAAD at the link below below:</t>
  </si>
  <si>
    <t>Suicide Deaths</t>
  </si>
  <si>
    <t>This is an Accredited Official Statistics publication. </t>
  </si>
  <si>
    <t>Accredited Official Statistics are produced to high professional standards set out in the Code of Practice for Official Statistics. They are produced free from any political interference.</t>
  </si>
  <si>
    <t>Our statistical practice is regulated by the Office for Statistics Regulation (OSR). OSR sets the standards of trustworthiness, quality and value in the Code of Practice for Statistics that all producers of official statistics should adhere to.</t>
  </si>
  <si>
    <t>View the full assessement of Demography and Vital Events Statistics for Northern Ireland.</t>
  </si>
  <si>
    <t>You are welcome to contact us directly with any comments about how we meet these standards by emailing demography@nisra.gov.uk.</t>
  </si>
  <si>
    <t>Alternatively, you can contact OSR by emailing regulation@statistics.gov.uk or via the OSR website.</t>
  </si>
  <si>
    <t>If you can spare the time we would love to hear your feedback on Vital Statistic Unit outputs and services through our customer survey</t>
  </si>
  <si>
    <t>Customer Survey</t>
  </si>
  <si>
    <r>
      <t xml:space="preserve">These accredited official statistics were independently reviewed by the Office for Statistics Regulation in April 2012. A </t>
    </r>
    <r>
      <rPr>
        <b/>
        <sz val="12"/>
        <color rgb="FF1F497D"/>
        <rFont val="Calibri"/>
        <family val="2"/>
      </rPr>
      <t>new Accredited Official Statistics badge has been produced</t>
    </r>
    <r>
      <rPr>
        <sz val="12"/>
        <color rgb="FF000000"/>
        <rFont val="Calibri"/>
        <family val="2"/>
      </rPr>
      <t xml:space="preserve"> in line with the change from National Statistics to Accredited Official Statistics. While the badge has changed, the meaning behind it has remained the same.</t>
    </r>
  </si>
  <si>
    <t>They comply with the standards of trustworthiness, quality and value in the Code of Practice for Statistics and should be labelled ‘accredited official statistics'.</t>
  </si>
  <si>
    <t>These tables, as well as previous reports, are available from the NISRA website at:</t>
  </si>
  <si>
    <t>underlying mortality data on which suicide death statistics are based.</t>
  </si>
  <si>
    <t>Contents</t>
  </si>
  <si>
    <t>Crude Mortality Rate (2011 Population)</t>
  </si>
  <si>
    <t>Crude Mortality Rate (2021 Population)</t>
  </si>
  <si>
    <t>Hanging includes Strangulation and Suffocation. The ICD codes used for 'Drug poisoning' include F11-F16, F18, F19, X40-X44, X60-X64, X85, Y10-Y14. Other includes methods of suicide such as firearm, smoke, fire and flames, unspecified events and other poisoning.</t>
  </si>
  <si>
    <t>Suicides in Northern Ireland, 2024</t>
  </si>
  <si>
    <t>Date of release: 20 November 2025</t>
  </si>
  <si>
    <t>Date of next Release: Winter 2026</t>
  </si>
  <si>
    <t>Responsible Statistician: Claire Rocks</t>
  </si>
  <si>
    <t>Number of Suicides Registered in Northern Ireland by Sex, 2004-2024</t>
  </si>
  <si>
    <t>Number of Suicides Registered in Northern Ireland by Sex and Age, 2024</t>
  </si>
  <si>
    <t>Number of Suicides Registered in Northern Ireland by Health and Social Care Trust, 2024</t>
  </si>
  <si>
    <t>Percentage of Suicides Registered in Northern Ireland by NI Multiple Deprivation Measure (2017), 2024</t>
  </si>
  <si>
    <t>2024</t>
  </si>
  <si>
    <t>Number of Suicides Occurring in Northern Ireland by Sex, 2004-2023</t>
  </si>
  <si>
    <t>Data presented in this spreadsheet is final and details suicides registered in Northern Ireland during 2024.</t>
  </si>
  <si>
    <t>Persons aged 15 years and above</t>
  </si>
  <si>
    <t>Median time taken to register (days)</t>
  </si>
  <si>
    <t>analyse and publish suicide statistics.</t>
  </si>
  <si>
    <r>
      <t xml:space="preserve">Suicide death statistics and mortality statistics more generally are published by NISRA as the number of deaths </t>
    </r>
    <r>
      <rPr>
        <i/>
        <sz val="12"/>
        <rFont val="Calibri"/>
        <family val="2"/>
        <scheme val="minor"/>
      </rPr>
      <t>registered</t>
    </r>
    <r>
      <rPr>
        <sz val="12"/>
        <rFont val="Calibri"/>
        <family val="2"/>
        <scheme val="minor"/>
      </rPr>
      <t xml:space="preserve"> within a calendar year, as opposed to the number that</t>
    </r>
  </si>
  <si>
    <t>Suicides in England and Wales: 1981 to 2024</t>
  </si>
  <si>
    <t>Probable Suicides, 2024 - National Records of Scotland (NRS)</t>
  </si>
  <si>
    <t>Estimating suicide among higher education students, England and Wales: August 2016 to July 2023</t>
  </si>
  <si>
    <t>Drug-related deaths and suicide in prison custody in England and Wales :20028 to 2019</t>
  </si>
  <si>
    <r>
      <rPr>
        <sz val="12"/>
        <rFont val="Calibri"/>
        <family val="2"/>
        <scheme val="minor"/>
      </rPr>
      <t xml:space="preserve">For further guidance please see the </t>
    </r>
    <r>
      <rPr>
        <u/>
        <sz val="12"/>
        <color rgb="FF0000FF"/>
        <rFont val="Calibri"/>
        <family val="2"/>
        <scheme val="minor"/>
      </rPr>
      <t>User Guide for Suicide Statistics in Northern Ireland</t>
    </r>
    <r>
      <rPr>
        <u/>
        <sz val="12"/>
        <color indexed="12"/>
        <rFont val="Calibri"/>
        <family val="2"/>
        <scheme val="minor"/>
      </rPr>
      <t>.</t>
    </r>
  </si>
  <si>
    <r>
      <rPr>
        <sz val="12"/>
        <rFont val="Calibri"/>
        <family val="2"/>
        <scheme val="minor"/>
      </rPr>
      <t>Users are therefore cautioned against drawing inferences based on 1 year changes and should refer to</t>
    </r>
    <r>
      <rPr>
        <u/>
        <sz val="12"/>
        <color indexed="12"/>
        <rFont val="Calibri"/>
        <family val="2"/>
        <scheme val="minor"/>
      </rPr>
      <t xml:space="preserve"> </t>
    </r>
    <r>
      <rPr>
        <u/>
        <sz val="12"/>
        <color rgb="FF0000FF"/>
        <rFont val="Calibri"/>
        <family val="2"/>
        <scheme val="minor"/>
      </rPr>
      <t>occurrence trends based on a ‘3-year rolling average'</t>
    </r>
    <r>
      <rPr>
        <u/>
        <sz val="12"/>
        <color indexed="12"/>
        <rFont val="Calibri"/>
        <family val="2"/>
        <scheme val="minor"/>
      </rPr>
      <t>.</t>
    </r>
  </si>
  <si>
    <t>Prior to 2004</t>
  </si>
  <si>
    <r>
      <rPr>
        <sz val="12"/>
        <rFont val="Calibri"/>
        <family val="2"/>
        <scheme val="minor"/>
      </rPr>
      <t>following the</t>
    </r>
    <r>
      <rPr>
        <u/>
        <sz val="12"/>
        <color indexed="12"/>
        <rFont val="Calibri"/>
        <family val="2"/>
        <scheme val="minor"/>
      </rPr>
      <t xml:space="preserve"> </t>
    </r>
    <r>
      <rPr>
        <u/>
        <sz val="12"/>
        <color rgb="FF0000FF"/>
        <rFont val="Calibri"/>
        <family val="2"/>
        <scheme val="minor"/>
      </rPr>
      <t>Samaritans' media guidelines for reporting suicide</t>
    </r>
    <r>
      <rPr>
        <u/>
        <sz val="12"/>
        <color indexed="12"/>
        <rFont val="Calibri"/>
        <family val="2"/>
        <scheme val="minor"/>
      </rPr>
      <t xml:space="preserve">. </t>
    </r>
    <r>
      <rPr>
        <sz val="12"/>
        <rFont val="Calibri"/>
        <family val="2"/>
        <scheme val="minor"/>
      </rPr>
      <t>The guidelines contain information on best practice, including appropriate terminology and links to sources of</t>
    </r>
  </si>
  <si>
    <r>
      <rPr>
        <u/>
        <sz val="12"/>
        <color rgb="FF0000FF"/>
        <rFont val="Calibri"/>
        <family val="2"/>
        <scheme val="minor"/>
      </rPr>
      <t>Quality Assurance of Administrative Data (QAAD) for Deaths Data in Northern Ireland</t>
    </r>
    <r>
      <rPr>
        <sz val="12"/>
        <rFont val="Calibri"/>
        <family val="2"/>
        <scheme val="minor"/>
      </rPr>
      <t xml:space="preserve"> which provides further information on the collection, production and quality of the </t>
    </r>
  </si>
  <si>
    <r>
      <rPr>
        <u/>
        <sz val="12"/>
        <color rgb="FF0000FF"/>
        <rFont val="Calibri"/>
        <family val="2"/>
        <scheme val="minor"/>
      </rPr>
      <t>Quality Assurance of Administrative Data (QAAD) for Deaths Data in Northern Ireland</t>
    </r>
    <r>
      <rPr>
        <sz val="12"/>
        <rFont val="Calibri"/>
        <family val="2"/>
        <scheme val="minor"/>
      </rPr>
      <t>.</t>
    </r>
  </si>
  <si>
    <t>Year</t>
  </si>
  <si>
    <t>Number of Suicides Registered in Northern Ireland, 2015-2024</t>
  </si>
  <si>
    <t>Number of Suicides Registered in Northern Ireland by Sex and Age, 2015-2024</t>
  </si>
  <si>
    <t>Number of Suicides Registered in Northern Ireland by Health and Social Care Trust and Sex, 2015-2024</t>
  </si>
  <si>
    <t>Number of Suicides Registered in Northern Ireland by NI Multiple Deprivation Measure (2017), 2015-2024</t>
  </si>
  <si>
    <t>Rebased population data for the years 2015 to 2020 is not yet available at Health and Social Care Trust level to calculate age standardised mortality rates for the full time series.</t>
  </si>
  <si>
    <r>
      <t>take months or even years.  The death is then registered with the General Register Office</t>
    </r>
    <r>
      <rPr>
        <sz val="12"/>
        <color theme="1"/>
        <rFont val="Calibri"/>
        <family val="2"/>
        <scheme val="minor"/>
      </rPr>
      <t xml:space="preserve"> (GRO)</t>
    </r>
    <r>
      <rPr>
        <sz val="12"/>
        <rFont val="Calibri"/>
        <family val="2"/>
        <scheme val="minor"/>
      </rPr>
      <t xml:space="preserve"> and this information is made available to NISRA to append an ICD-10 code and </t>
    </r>
  </si>
  <si>
    <t>Age-standardised suicide rates per 100,000 population, standardised to the 2013 European Standard Population. Age-standardised rates are used to allow comparison between populations which may contain different proportions of people of different ages. Population used for Suicide ASMRs are aged 10+ in line with the suicide definition.</t>
  </si>
  <si>
    <t>occurred in that period but only include those registered and validated by 30 June 2025. Data for 2025 registrations of deaths from 2024 remain provisional until further validation in 2026.</t>
  </si>
  <si>
    <t>While annual data based on the date of occurrence are accurate if enough time has lapsed, for more recent years they will be incomplete as more registrations will follow.</t>
  </si>
  <si>
    <t xml:space="preserve">This method ensures timely data but introduces a limitation to the statistics as they can be impacted by  delays in procedural systems and do not enable occurrence-based analyses which </t>
  </si>
  <si>
    <t xml:space="preserve">may be important in informing operational and policy responses.  </t>
  </si>
  <si>
    <t>Most suicide deaths (97 per cent) are registered within three years of occurrence.</t>
  </si>
  <si>
    <t>..</t>
  </si>
  <si>
    <t>Crude Mortality Rate per 100,000 Population aged 16+ for Suicides Registered in Northern Ireland by Marital Status, 2015-2024</t>
  </si>
  <si>
    <t>Suicide Rate and Age-Standardised Mortality Rate (ASMR) per 100,000 Population for Suicides Registered in Northern Ireland by Sex, 2004-2024</t>
  </si>
  <si>
    <t>Age-Standardised Mortality Rate (ASMR) per 100,000 Population for Suicides Registered in Northern Ireland by Sex, 2015-2024</t>
  </si>
  <si>
    <t>Number of Suicides Registered in Northern Ireland by Year of Registration and Year of Occurrence, and Median Time between Occurrence and Registration, 2015-2024</t>
  </si>
  <si>
    <t>Number of Suicides Registered in Northern Ireland by Local Government District, 2015-2024</t>
  </si>
  <si>
    <t>Number of Suicides Registered in Northern Ireland by Parliamentary Constituency, 2015-2024</t>
  </si>
  <si>
    <t>Number of Suicides Registered in Northern Ireland by Urban Rural Classification, 2015-2024</t>
  </si>
  <si>
    <t>Number of Suicides Registered in Northern Ireland by Method and Sex, 2004-2024</t>
  </si>
  <si>
    <t>Number of Suicides Registered in Northern Ireland by Method, 2015-2024</t>
  </si>
  <si>
    <t>Number of Suicides Registered in Northern Ireland by Method and Age, 2015-2024</t>
  </si>
  <si>
    <t>Number of Suicides Registered in Northern Ireland by Method and Health and Social Care Trust, 2015-2024</t>
  </si>
  <si>
    <t>Number of Suicides in Northern Ireland by Registration and Occurrence Year, 2015-2024</t>
  </si>
  <si>
    <t>Number of Suicides (three-year rolling average) in Northern Ireland by Occurrence Year, 2017-2023</t>
  </si>
  <si>
    <t>Number and Crude Mortality Rate per 100,000 Population aged 16+ for Suicides Registered in Northern Ireland by Marital Status, 2015-2024</t>
  </si>
  <si>
    <t>Number of Suicides [notes 1, 2 and 3] Registered in Northern Ireland by Sex and Age, 2015-2024</t>
  </si>
  <si>
    <t>Number of Suicides [notes 1, 2 and 3] Registered in Northern Ireland by Sex and Age, 2024</t>
  </si>
  <si>
    <t>Suicides [notes 1, 2 and 3] Registered in Northern Ireland by Sex, 2004-2024</t>
  </si>
  <si>
    <t>[notes 1, 2 and 3] Registered in Northern Ireland by Sex, 2015-2024</t>
  </si>
  <si>
    <t>Number of Suicides [notes 1, 2 and 3] Registered in Northern Ireland by Health and Social Care Trust and Sex, 2015-2024</t>
  </si>
  <si>
    <t>Number of Suicides [notes 1, 2 and 3] Registered in Northern Ireland by Local Government District, 2015-2024</t>
  </si>
  <si>
    <t>Number of Suicides [notes 1, 2 and 3] Registered in Northern Ireland by Health and Social Care Trust, 2024</t>
  </si>
  <si>
    <t>Number of Suicides  [notes 1, 2 and 3] Registered in Northern Ireland by Parliamentary Constituency, 2015-2024</t>
  </si>
  <si>
    <t>Number of Suicides [notes 1, 2 and 3] Registered in Northern Ireland by Urban Rural Classification 2015-2024</t>
  </si>
  <si>
    <t>Number of Suicides [notes 1, 2 and 3] Registered in Northern Ireland by NI Multiple Deprivation Measure (2017), 2015-2024</t>
  </si>
  <si>
    <t>Percentage of Suicides [notes 1, 2 and 3] Registered in Northern Ireland by NI Multiple Deprivation Measure (2017), 2024</t>
  </si>
  <si>
    <t>Age-Standardised Mortality Rate (ASMR) per 100,000 Population for Suicides Registered in Northern Ireland by NI Multiple Deprivation Measure (2017), 2004-2024</t>
  </si>
  <si>
    <t>Age-Standardised Mortality Rate (ASMR) per 100,000 Population for Suicides Registered and Occurring in Northern Ireland by Sex, 2015 to 2024</t>
  </si>
  <si>
    <t>Number of Suicides Registered, Suicide Rate and Age-Standardised Mortality Rate (ASMR) per 100,000 Population for Suicides Registered in Northern Ireland by Health by Social Care Trust, 2015-2024</t>
  </si>
  <si>
    <r>
      <t>This sheet contains one graph. The title may refer to notes which can be found on the</t>
    </r>
    <r>
      <rPr>
        <u/>
        <sz val="12"/>
        <color rgb="FF0070C0"/>
        <rFont val="Calibri"/>
        <family val="2"/>
        <scheme val="minor"/>
      </rPr>
      <t xml:space="preserve"> </t>
    </r>
    <r>
      <rPr>
        <u/>
        <sz val="12"/>
        <color rgb="FF0000FF"/>
        <rFont val="Calibri"/>
        <family val="2"/>
        <scheme val="minor"/>
      </rPr>
      <t>notes</t>
    </r>
    <r>
      <rPr>
        <sz val="12"/>
        <rFont val="Calibri"/>
        <family val="2"/>
        <scheme val="minor"/>
      </rPr>
      <t xml:space="preserve"> worksheet. </t>
    </r>
  </si>
  <si>
    <r>
      <t>This sheet contains one barchart. The title may refer to notes which can be found on the</t>
    </r>
    <r>
      <rPr>
        <u/>
        <sz val="12"/>
        <color rgb="FF0070C0"/>
        <rFont val="Calibri"/>
        <family val="2"/>
        <scheme val="minor"/>
      </rPr>
      <t xml:space="preserve"> </t>
    </r>
    <r>
      <rPr>
        <u/>
        <sz val="12"/>
        <color rgb="FF0000FF"/>
        <rFont val="Calibri"/>
        <family val="2"/>
        <scheme val="minor"/>
      </rPr>
      <t>notes</t>
    </r>
    <r>
      <rPr>
        <sz val="12"/>
        <rFont val="Calibri"/>
        <family val="2"/>
        <scheme val="minor"/>
      </rPr>
      <t xml:space="preserve"> worksheet. </t>
    </r>
  </si>
  <si>
    <t>Two dots (..) indicate that the three-year rolling averages for the years 2015 and 2016 are not included as these are calculated using data for years prior to 2015 which are not comparable with datafrom 2015 onwards (per Note 1 above).</t>
  </si>
  <si>
    <t>Note 12</t>
  </si>
  <si>
    <t>Number of Suicides [notes 1, 2, 3 and 4] Registered in Northern Ireland by Sex, 2004-2024</t>
  </si>
  <si>
    <t xml:space="preserve">Number of Suicides [notes 1, 2 , 3 and 4] Registered in Northern Ireland, 2015-2024 </t>
  </si>
  <si>
    <t>Registered in Northern Ireland by Marital Status [note 6], 2015-2024</t>
  </si>
  <si>
    <t xml:space="preserve">Crude Mortality Rate [note 5] per 100,000 Population aged 16+ for Suicides [notes 1, 2 and 3] </t>
  </si>
  <si>
    <t>Registered in Northern Ireland  by Marital Status [note 6], 2015-2024</t>
  </si>
  <si>
    <t xml:space="preserve">Number and Crude Mortality Rate [note 5] per 100,000 Population aged 16+ [note 5] for Suicides [notes 1, 2 and 3] </t>
  </si>
  <si>
    <r>
      <t>Suicide Rate and Age-Standardised Mortality Rate (ASMR)</t>
    </r>
    <r>
      <rPr>
        <b/>
        <sz val="15"/>
        <color rgb="FF00B050"/>
        <rFont val="Calibri"/>
        <family val="2"/>
        <scheme val="minor"/>
      </rPr>
      <t xml:space="preserve"> </t>
    </r>
    <r>
      <rPr>
        <b/>
        <sz val="15"/>
        <color theme="3"/>
        <rFont val="Calibri"/>
        <family val="2"/>
        <scheme val="minor"/>
      </rPr>
      <t xml:space="preserve">[note 7] per 100,000 Population for </t>
    </r>
  </si>
  <si>
    <t xml:space="preserve">Age Standardised Mortality Rate (ASMR) [note 7] per 100,000 Population for Suicides </t>
  </si>
  <si>
    <t>Number of Suicides [notes 1, 2 and 3] Registered in Northern Ireland by Year of Registration and Year of Occurrence [note 8], and Median Time between Occurrence</t>
  </si>
  <si>
    <r>
      <t>This sheet has no contents, as explained below. The title may refer to notes which can be found on the</t>
    </r>
    <r>
      <rPr>
        <u/>
        <sz val="12"/>
        <color rgb="FF0070C0"/>
        <rFont val="Calibri"/>
        <family val="2"/>
        <scheme val="minor"/>
      </rPr>
      <t xml:space="preserve"> </t>
    </r>
    <r>
      <rPr>
        <u/>
        <sz val="12"/>
        <color rgb="FF0000FF"/>
        <rFont val="Calibri"/>
        <family val="2"/>
        <scheme val="minor"/>
      </rPr>
      <t>notes</t>
    </r>
    <r>
      <rPr>
        <sz val="12"/>
        <rFont val="Calibri"/>
        <family val="2"/>
        <scheme val="minor"/>
      </rPr>
      <t xml:space="preserve"> worksheet. </t>
    </r>
  </si>
  <si>
    <t>Number of Suicides [notes 1, 2 and 3] Registered , Suicide Rate and Age-Standardised Mortality Rate (ASMR) [note 7] per 100,000 Population</t>
  </si>
  <si>
    <t>for Suicides Registered in Northern Ireland by Health and Social Care Trust [note 10], 2015-2024</t>
  </si>
  <si>
    <t>and Registration [note 9], 2015-2024</t>
  </si>
  <si>
    <r>
      <t>This sheet contains a barchart and a map. The title may refer to notes which can be found on the</t>
    </r>
    <r>
      <rPr>
        <u/>
        <sz val="12"/>
        <color rgb="FF0070C0"/>
        <rFont val="Calibri"/>
        <family val="2"/>
        <scheme val="minor"/>
      </rPr>
      <t xml:space="preserve"> </t>
    </r>
    <r>
      <rPr>
        <u/>
        <sz val="12"/>
        <color rgb="FF0000FF"/>
        <rFont val="Calibri"/>
        <family val="2"/>
        <scheme val="minor"/>
      </rPr>
      <t>notes</t>
    </r>
    <r>
      <rPr>
        <sz val="12"/>
        <rFont val="Calibri"/>
        <family val="2"/>
        <scheme val="minor"/>
      </rPr>
      <t xml:space="preserve"> worksheet. </t>
    </r>
  </si>
  <si>
    <t xml:space="preserve">Age-Standardised Mortality Rate (ASMR) [note 7] per 100,000 Population for Suicides [notes 1, 2 and 3] Registered  </t>
  </si>
  <si>
    <t>in Northern Ireland by NI Multiple Deprivation Measure (2017), 2004-2024 [note 11]</t>
  </si>
  <si>
    <r>
      <t>This sheet contains one half-doughnut graphic. The title may refer to notes which can be found on the</t>
    </r>
    <r>
      <rPr>
        <u/>
        <sz val="12"/>
        <color rgb="FF0070C0"/>
        <rFont val="Calibri"/>
        <family val="2"/>
        <scheme val="minor"/>
      </rPr>
      <t xml:space="preserve"> </t>
    </r>
    <r>
      <rPr>
        <u/>
        <sz val="12"/>
        <color rgb="FF0000FF"/>
        <rFont val="Calibri"/>
        <family val="2"/>
        <scheme val="minor"/>
      </rPr>
      <t>notes</t>
    </r>
    <r>
      <rPr>
        <sz val="12"/>
        <rFont val="Calibri"/>
        <family val="2"/>
        <scheme val="minor"/>
      </rPr>
      <t xml:space="preserve"> worksheet. </t>
    </r>
  </si>
  <si>
    <t>Number of Suicides [notes 1, 2 and 3] Registered in Northern Ireland by Method [note 12] and Sex, 2004-2024</t>
  </si>
  <si>
    <t>Number of Suicides [notes 1, 2 and 3] Registered in Northern Ireland by Method [note 12], 2015-2024</t>
  </si>
  <si>
    <t>Number of Suicides [notes 1, 2 and 3] Registered in Northern Ireland by Method [note 12] and Age, 2015-2024</t>
  </si>
  <si>
    <t>Number of Suicides [notes 1, 2 and 3] Registered in Northern Ireland by Method [note 12] and Health and Social Care Trust, 2015-2024</t>
  </si>
  <si>
    <t>Number of Suicides [note 1 and note 3] in Northern Ireland by Registration Year and Occurrence Year, 2015-2024 [note 8]</t>
  </si>
  <si>
    <t>in Northern Ireland by Sex, 2015-2024 [note 8]</t>
  </si>
  <si>
    <t>Age-Standardised Mortality Rate (ASMR) [note 7] per 100,000 Population for Suicides [note 1 and note 3] Registered and Occurring</t>
  </si>
  <si>
    <t>Number of Suicides [notes 1, 2 and 3] (three-year rolling average [note 4]) in Northern Ireland by Occurrence Year, 2017-2023 [note 8]</t>
  </si>
  <si>
    <t>Note 4</t>
  </si>
  <si>
    <t>Number of Suicides [notes 1, 3 and 4] Occurring in Northern Ireland by Sex, 2004-2023 [note 8]</t>
  </si>
  <si>
    <r>
      <t xml:space="preserve">In the UK, in considering suicide events it is conventional to include cases where the cause of death is classified as either ‘Suicide and self-inflicted injury’ or ‘Event of Undetermined intent’. The ICD codes used  for ‘Suicide and self-inflicted injury’ are X60-X84 and Y87.0, and the ICD codes used for ‘Event of Undetermined intent’ are Y10-Y34 and Y87.2. </t>
    </r>
    <r>
      <rPr>
        <sz val="12"/>
        <rFont val="Calibri"/>
        <family val="2"/>
      </rPr>
      <t>Following the review of NI suicide statistics covering the years 2015-2020, comparisons with the pre-2015 data series are advised with caution. In the tables this series break is marked with a bold line after the 2014 figures.</t>
    </r>
  </si>
  <si>
    <r>
      <rPr>
        <sz val="12"/>
        <rFont val="Calibri"/>
        <family val="2"/>
      </rPr>
      <t>Crude death rate is a measure of the number of deaths scaled to the population size. Population data for the years before 2017 are based on the NI 2011 Census 16+ marriage age. From 2017, data used from the</t>
    </r>
    <r>
      <rPr>
        <sz val="12"/>
        <color indexed="12"/>
        <rFont val="Calibri"/>
        <family val="2"/>
      </rPr>
      <t xml:space="preserve"> </t>
    </r>
    <r>
      <rPr>
        <u/>
        <sz val="12"/>
        <color rgb="FF0000FF"/>
        <rFont val="Calibri"/>
        <family val="2"/>
      </rPr>
      <t>Census 2021 Marital and civil partnership status table</t>
    </r>
    <r>
      <rPr>
        <sz val="12"/>
        <color indexed="12"/>
        <rFont val="Calibri"/>
        <family val="2"/>
      </rPr>
      <t xml:space="preserve">. </t>
    </r>
    <r>
      <rPr>
        <sz val="12"/>
        <rFont val="Calibri"/>
        <family val="2"/>
      </rPr>
      <t>For comparison, civil partnership and separated data were added to the marriage statistic.</t>
    </r>
  </si>
  <si>
    <r>
      <t xml:space="preserve">Data based on year of occurrence can not be classed as final.  For the most recent years 2021 to 2023 in particular, the numbers are subject to a lot of revision upwards. Table includes registrations up to 30 June 2025, where the deaths occurred between 2004 and 2024.  Users are therefore cautioned against drawing inferences based on one year changes and should refer to occurrence trends based on a ‘three-year rolling average’. </t>
    </r>
    <r>
      <rPr>
        <sz val="12"/>
        <color rgb="FFFF0000"/>
        <rFont val="Calibri"/>
        <family val="2"/>
      </rPr>
      <t xml:space="preserve"> </t>
    </r>
    <r>
      <rPr>
        <sz val="12"/>
        <color rgb="FF000000"/>
        <rFont val="Calibri"/>
        <family val="2"/>
      </rPr>
      <t xml:space="preserve"> Data for 2024 is not provided as it is subject to greater revision upwards.</t>
    </r>
  </si>
  <si>
    <t>A complete series of Mid-Year Population Estimates for 2022 to 2024 by HSCT are currently unavailable; it has therefore not been possible to produce rates by HSCT for these years.</t>
  </si>
  <si>
    <r>
      <rPr>
        <i/>
        <sz val="12"/>
        <rFont val="Calibri"/>
        <family val="2"/>
        <scheme val="minor"/>
      </rPr>
      <t xml:space="preserve">occurred </t>
    </r>
    <r>
      <rPr>
        <sz val="12"/>
        <rFont val="Calibri"/>
        <family val="2"/>
        <scheme val="minor"/>
      </rPr>
      <t xml:space="preserve">in that period.  For 2024, Registration Year figures cover deaths registered between 01 January and 31 December, while Occurrence Year figures cover deaths that actually </t>
    </r>
  </si>
  <si>
    <t>This worksheet contains one table of additional explanatory notes below</t>
  </si>
  <si>
    <t>Quintile 1 - most deprived</t>
  </si>
  <si>
    <t>Quintile 2</t>
  </si>
  <si>
    <t>Quintile 3</t>
  </si>
  <si>
    <t>Quintile 4</t>
  </si>
  <si>
    <t>Quintile 5 - least deprived</t>
  </si>
  <si>
    <t>Mid-Year Population Estimates for 2021 to 2024 by NIMDM are currently unavailable; it has therefore not been possible to produce ASMRs for deprived areas for these three years, as represented by a dash (-).</t>
  </si>
  <si>
    <t>The data are based on the year of registration rather than the year of occurrence.  Events such as suicide are likely to be referred to the coroner.  This can take some time, therefore deaths recorded each year may have occurred prior to the registration year.  For this reason occurrence data and rates are not included for 2024, as represented by a dash (-).</t>
  </si>
  <si>
    <t>Persons 
Suicide including Intentional Self-harm and Events of Undetermined Intent</t>
  </si>
  <si>
    <t>Persons 
Three-year rolling average</t>
  </si>
  <si>
    <t>Persons 
Of which: Intentional Self-harm</t>
  </si>
  <si>
    <t>Males 
Suicide including Intentional Self-harm and Events of Undetermined Intent</t>
  </si>
  <si>
    <t>Males 
Of which: Intentional Self-harm</t>
  </si>
  <si>
    <t>Females 
Suicide including Intentional Self-harm and Events of Undetermined Intent</t>
  </si>
  <si>
    <t>Females 
Of which: Intentional Self-harm</t>
  </si>
  <si>
    <t>Persons
Suicide including Intentional Self-harm and Events of Undetermined Intent</t>
  </si>
  <si>
    <t>Persons
Three-year rolling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</si>
</sst>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quot; &quot;#,##0.00&quot; &quot;;&quot;-&quot;#,##0.00&quot; &quot;;&quot; -&quot;00&quot; &quot;;&quot; &quot;@&quot; &quot;"/>
    <numFmt numFmtId="167" formatCode="0.0%"/>
  </numFmts>
  <fonts count="10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u/>
      <sz val="10"/>
      <color indexed="12"/>
      <name val="Arial"/>
      <family val="2"/>
    </font>
    <font>
      <i/>
      <sz val="10"/>
      <name val="Arial"/>
      <family val="2"/>
    </font>
    <font>
      <b/>
      <u/>
      <sz val="12"/>
      <name val="Arial"/>
      <family val="2"/>
    </font>
    <font>
      <sz val="11"/>
      <color theme="1"/>
      <name val="Calibri"/>
      <family val="2"/>
      <scheme val="minor"/>
    </font>
    <font>
      <u/>
      <sz val="11"/>
      <color theme="10"/>
      <name val="Calibri"/>
      <family val="2"/>
    </font>
    <font>
      <sz val="12"/>
      <color rgb="FF0070C0"/>
      <name val="Calibri"/>
      <family val="2"/>
      <scheme val="minor"/>
    </font>
    <font>
      <u/>
      <sz val="12"/>
      <color rgb="FF0070C0"/>
      <name val="Calibri"/>
      <family val="2"/>
      <scheme val="minor"/>
    </font>
    <font>
      <b/>
      <sz val="15"/>
      <color theme="3"/>
      <name val="Calibri"/>
      <family val="2"/>
      <scheme val="minor"/>
    </font>
    <font>
      <sz val="11"/>
      <color rgb="FF000000"/>
      <name val="Calibri"/>
      <family val="2"/>
    </font>
    <font>
      <sz val="10"/>
      <color rgb="FF000000"/>
      <name val="Arial"/>
      <family val="2"/>
    </font>
    <font>
      <sz val="7"/>
      <color rgb="FF000000"/>
      <name val="Arial"/>
      <family val="2"/>
    </font>
    <font>
      <b/>
      <sz val="10"/>
      <color rgb="FF000000"/>
      <name val="Arial"/>
      <family val="2"/>
    </font>
    <font>
      <b/>
      <sz val="14"/>
      <color rgb="FF000000"/>
      <name val="Arial"/>
      <family val="2"/>
    </font>
    <font>
      <b/>
      <sz val="15"/>
      <color rgb="FF000000"/>
      <name val="Calibri"/>
      <family val="2"/>
    </font>
    <font>
      <b/>
      <sz val="13"/>
      <color rgb="FF000000"/>
      <name val="Calibri"/>
      <family val="2"/>
    </font>
    <font>
      <b/>
      <sz val="11"/>
      <color rgb="FF000000"/>
      <name val="Calibri"/>
      <family val="2"/>
    </font>
    <font>
      <u/>
      <sz val="10"/>
      <color rgb="FF0000FF"/>
      <name val="Arial"/>
      <family val="2"/>
    </font>
    <font>
      <u/>
      <sz val="11"/>
      <color rgb="FF0000FF"/>
      <name val="Calibri"/>
      <family val="2"/>
    </font>
    <font>
      <u/>
      <sz val="11"/>
      <color rgb="FF0563C1"/>
      <name val="Calibri"/>
      <family val="2"/>
    </font>
    <font>
      <u/>
      <sz val="10"/>
      <color rgb="FF0563C1"/>
      <name val="Arial"/>
      <family val="2"/>
    </font>
    <font>
      <sz val="12"/>
      <name val="Arial"/>
      <family val="2"/>
    </font>
    <font>
      <sz val="12"/>
      <name val="Calibri"/>
      <family val="2"/>
      <scheme val="minor"/>
    </font>
    <font>
      <i/>
      <sz val="12"/>
      <name val="Calibri"/>
      <family val="2"/>
      <scheme val="minor"/>
    </font>
    <font>
      <b/>
      <sz val="12"/>
      <name val="Calibri"/>
      <family val="2"/>
      <scheme val="minor"/>
    </font>
    <font>
      <b/>
      <i/>
      <sz val="12"/>
      <name val="Calibri"/>
      <family val="2"/>
      <scheme val="minor"/>
    </font>
    <font>
      <b/>
      <sz val="12"/>
      <color indexed="8"/>
      <name val="Calibri"/>
      <family val="2"/>
      <scheme val="minor"/>
    </font>
    <font>
      <sz val="12"/>
      <color indexed="8"/>
      <name val="Calibri"/>
      <family val="2"/>
      <scheme val="minor"/>
    </font>
    <font>
      <sz val="12"/>
      <color theme="1"/>
      <name val="Calibri"/>
      <family val="2"/>
      <scheme val="minor"/>
    </font>
    <font>
      <b/>
      <sz val="12"/>
      <color theme="1"/>
      <name val="Calibri"/>
      <family val="2"/>
      <scheme val="minor"/>
    </font>
    <font>
      <sz val="12"/>
      <color rgb="FF3333FF"/>
      <name val="Calibri"/>
      <family val="2"/>
      <scheme val="minor"/>
    </font>
    <font>
      <sz val="12"/>
      <color indexed="8"/>
      <name val="Calibri"/>
      <family val="2"/>
      <scheme val="minor"/>
    </font>
    <font>
      <b/>
      <sz val="12"/>
      <name val="Calibri"/>
      <family val="2"/>
      <scheme val="minor"/>
    </font>
    <font>
      <b/>
      <sz val="13"/>
      <color theme="3"/>
      <name val="Calibri"/>
      <family val="2"/>
      <scheme val="minor"/>
    </font>
    <font>
      <b/>
      <sz val="16"/>
      <color theme="3"/>
      <name val="Calibri"/>
      <family val="2"/>
      <scheme val="minor"/>
    </font>
    <font>
      <sz val="10"/>
      <name val="Calibri"/>
      <family val="2"/>
      <scheme val="minor"/>
    </font>
    <font>
      <i/>
      <sz val="10"/>
      <name val="Calibri"/>
      <family val="2"/>
      <scheme val="minor"/>
    </font>
    <font>
      <u/>
      <sz val="10"/>
      <color rgb="FF3333FF"/>
      <name val="Arial"/>
      <family val="2"/>
    </font>
    <font>
      <u/>
      <sz val="10"/>
      <color indexed="12"/>
      <name val="Calibri"/>
      <family val="2"/>
      <scheme val="minor"/>
    </font>
    <font>
      <u/>
      <sz val="12"/>
      <color indexed="12"/>
      <name val="Calibri"/>
      <family val="2"/>
      <scheme val="minor"/>
    </font>
    <font>
      <sz val="20"/>
      <color theme="1"/>
      <name val="Calibri"/>
      <family val="2"/>
      <scheme val="minor"/>
    </font>
    <font>
      <b/>
      <sz val="16"/>
      <color rgb="FF1F497D"/>
      <name val="Calibri"/>
      <family val="2"/>
      <scheme val="minor"/>
    </font>
    <font>
      <sz val="10"/>
      <color rgb="FF00B050"/>
      <name val="Arial"/>
      <family val="2"/>
    </font>
    <font>
      <b/>
      <sz val="10"/>
      <name val="Arial"/>
      <family val="2"/>
    </font>
    <font>
      <sz val="12"/>
      <name val="Calibri"/>
      <family val="2"/>
    </font>
    <font>
      <sz val="12"/>
      <name val="Calibri"/>
      <family val="2"/>
      <scheme val="minor"/>
    </font>
    <font>
      <sz val="12"/>
      <color rgb="FFFF0000"/>
      <name val="Calibri"/>
      <family val="2"/>
      <scheme val="minor"/>
    </font>
    <font>
      <sz val="8"/>
      <name val="Arial"/>
      <family val="2"/>
    </font>
    <font>
      <sz val="8"/>
      <name val="Arial"/>
      <family val="2"/>
    </font>
    <font>
      <sz val="10"/>
      <color rgb="FFFF0000"/>
      <name val="Arial"/>
      <family val="2"/>
    </font>
    <font>
      <sz val="12"/>
      <color theme="1"/>
      <name val="Arial"/>
      <family val="2"/>
    </font>
    <font>
      <b/>
      <sz val="12"/>
      <color theme="1"/>
      <name val="Arial"/>
      <family val="2"/>
    </font>
    <font>
      <sz val="12"/>
      <color indexed="8"/>
      <name val="Calibri"/>
      <family val="2"/>
      <scheme val="minor"/>
    </font>
    <font>
      <sz val="12"/>
      <name val="Calibri"/>
      <family val="2"/>
      <scheme val="minor"/>
    </font>
    <font>
      <sz val="12"/>
      <color indexed="8"/>
      <name val="Calibri"/>
      <family val="2"/>
      <scheme val="minor"/>
    </font>
    <font>
      <sz val="12"/>
      <name val="Calibri"/>
      <family val="2"/>
      <scheme val="minor"/>
    </font>
    <font>
      <b/>
      <sz val="12"/>
      <name val="Calibri"/>
      <family val="2"/>
      <scheme val="minor"/>
    </font>
    <font>
      <sz val="8"/>
      <name val="Arial"/>
      <family val="2"/>
    </font>
    <font>
      <b/>
      <sz val="16"/>
      <color rgb="FF1F497D"/>
      <name val="Calibri"/>
      <family val="2"/>
    </font>
    <font>
      <sz val="11"/>
      <color rgb="FF000000"/>
      <name val="Arial"/>
      <family val="2"/>
    </font>
    <font>
      <sz val="12"/>
      <color rgb="FF000000"/>
      <name val="Arial"/>
      <family val="2"/>
    </font>
    <font>
      <u/>
      <sz val="12"/>
      <color rgb="FF0000FF"/>
      <name val="Calibri"/>
      <family val="2"/>
      <scheme val="minor"/>
    </font>
    <font>
      <sz val="12"/>
      <color rgb="FF24292E"/>
      <name val="Calibri"/>
      <family val="2"/>
    </font>
    <font>
      <sz val="9"/>
      <color rgb="FF000000"/>
      <name val="Arial"/>
      <family val="2"/>
    </font>
    <font>
      <u/>
      <sz val="12"/>
      <color rgb="FF0000FF"/>
      <name val="Calibri"/>
      <family val="2"/>
    </font>
    <font>
      <u/>
      <sz val="12"/>
      <color indexed="12"/>
      <name val="Calibri"/>
      <family val="2"/>
    </font>
    <font>
      <b/>
      <sz val="13"/>
      <color rgb="FF1F497D"/>
      <name val="Arial"/>
      <family val="2"/>
    </font>
    <font>
      <u/>
      <sz val="12"/>
      <color rgb="FF0000FF"/>
      <name val="Arial"/>
      <family val="2"/>
    </font>
    <font>
      <b/>
      <sz val="14"/>
      <color rgb="FF1F497D"/>
      <name val="Calibri"/>
      <family val="2"/>
    </font>
    <font>
      <sz val="20"/>
      <color rgb="FFFF0000"/>
      <name val="Arial"/>
      <family val="2"/>
    </font>
    <font>
      <b/>
      <sz val="10"/>
      <color rgb="FF000000"/>
      <name val="Calibri"/>
      <family val="2"/>
    </font>
    <font>
      <sz val="12"/>
      <color rgb="FF000000"/>
      <name val="Calibri"/>
      <family val="2"/>
    </font>
    <font>
      <b/>
      <sz val="12"/>
      <color rgb="FF1F497D"/>
      <name val="Calibri"/>
      <family val="2"/>
    </font>
    <font>
      <i/>
      <sz val="12"/>
      <color theme="1"/>
      <name val="Calibri"/>
      <family val="2"/>
      <scheme val="minor"/>
    </font>
    <font>
      <i/>
      <sz val="12"/>
      <name val="Calibri"/>
      <family val="2"/>
    </font>
    <font>
      <sz val="10"/>
      <name val="Arial"/>
      <family val="2"/>
    </font>
    <font>
      <sz val="10"/>
      <color theme="1"/>
      <name val="Arial"/>
      <family val="2"/>
    </font>
    <font>
      <sz val="12"/>
      <color rgb="FF00B050"/>
      <name val="Calibri"/>
      <family val="2"/>
      <scheme val="minor"/>
    </font>
    <font>
      <sz val="10"/>
      <color rgb="FF00B050"/>
      <name val="Calibri"/>
      <family val="2"/>
      <scheme val="minor"/>
    </font>
    <font>
      <sz val="10"/>
      <color rgb="FFFFC000"/>
      <name val="Calibri"/>
      <family val="2"/>
      <scheme val="minor"/>
    </font>
    <font>
      <sz val="12"/>
      <color rgb="FF0000FF"/>
      <name val="Calibri"/>
      <family val="2"/>
      <scheme val="minor"/>
    </font>
    <font>
      <b/>
      <sz val="15"/>
      <color rgb="FF00B050"/>
      <name val="Calibri"/>
      <family val="2"/>
      <scheme val="minor"/>
    </font>
    <font>
      <b/>
      <sz val="12"/>
      <color rgb="FF000000"/>
      <name val="Calibri"/>
      <family val="2"/>
    </font>
    <font>
      <b/>
      <sz val="15"/>
      <color theme="1"/>
      <name val="Calibri"/>
      <family val="2"/>
      <scheme val="minor"/>
    </font>
    <font>
      <b/>
      <u/>
      <sz val="12"/>
      <color theme="1"/>
      <name val="Arial"/>
      <family val="2"/>
    </font>
    <font>
      <u/>
      <sz val="10"/>
      <name val="Arial"/>
      <family val="2"/>
    </font>
    <font>
      <b/>
      <sz val="12"/>
      <name val="Calibri"/>
      <family val="2"/>
    </font>
    <font>
      <sz val="8"/>
      <name val="Arial"/>
      <family val="2"/>
    </font>
    <font>
      <b/>
      <u/>
      <sz val="12"/>
      <color theme="3"/>
      <name val="Arial"/>
      <family val="2"/>
    </font>
    <font>
      <b/>
      <u/>
      <sz val="10"/>
      <color theme="3"/>
      <name val="Arial"/>
      <family val="2"/>
    </font>
    <font>
      <u/>
      <sz val="10"/>
      <color theme="3"/>
      <name val="Arial"/>
      <family val="2"/>
    </font>
    <font>
      <sz val="10"/>
      <color theme="3"/>
      <name val="Arial"/>
      <family val="2"/>
    </font>
    <font>
      <sz val="10"/>
      <color theme="3"/>
      <name val="Arial"/>
      <family val="2"/>
    </font>
    <font>
      <sz val="12"/>
      <color theme="3"/>
      <name val="Calibri"/>
      <family val="2"/>
    </font>
    <font>
      <sz val="9"/>
      <color theme="3"/>
      <name val="Arial"/>
      <family val="2"/>
    </font>
    <font>
      <sz val="12"/>
      <color indexed="12"/>
      <name val="Calibri"/>
      <family val="2"/>
    </font>
    <font>
      <sz val="12"/>
      <color rgb="FFFF0000"/>
      <name val="Calibri"/>
      <family val="2"/>
    </font>
    <font>
      <sz val="10"/>
      <name val="Calibri"/>
      <family val="2"/>
    </font>
    <font>
      <sz val="12"/>
      <name val="Calibri"/>
      <scheme val="minor"/>
    </font>
  </fonts>
  <fills count="13">
    <fill>
      <patternFill patternType="none"/>
    </fill>
    <fill>
      <patternFill patternType="gray125"/>
    </fill>
    <fill>
      <patternFill patternType="solid">
        <fgColor theme="0"/>
        <bgColor indexed="64"/>
      </patternFill>
    </fill>
    <fill>
      <patternFill patternType="solid">
        <fgColor rgb="FFFFFF99"/>
        <bgColor rgb="FFFFFF99"/>
      </patternFill>
    </fill>
    <fill>
      <patternFill patternType="solid">
        <fgColor rgb="FF99CCFF"/>
        <bgColor rgb="FF99CCFF"/>
      </patternFill>
    </fill>
    <fill>
      <patternFill patternType="solid">
        <fgColor rgb="FF800080"/>
        <bgColor rgb="FF800080"/>
      </patternFill>
    </fill>
    <fill>
      <patternFill patternType="solid">
        <fgColor rgb="FFFFFFCC"/>
        <bgColor rgb="FFFFFFCC"/>
      </patternFill>
    </fill>
    <fill>
      <patternFill patternType="solid">
        <fgColor rgb="FFCADCF2"/>
        <bgColor indexed="64"/>
      </patternFill>
    </fill>
    <fill>
      <patternFill patternType="solid">
        <fgColor rgb="FFFFFFFF"/>
        <bgColor rgb="FFFFFFFF"/>
      </patternFill>
    </fill>
    <fill>
      <patternFill patternType="solid">
        <fgColor theme="0" tint="-0.14999847407452621"/>
        <bgColor indexed="64"/>
      </patternFill>
    </fill>
    <fill>
      <patternFill patternType="solid">
        <fgColor theme="0" tint="-0.14996795556505021"/>
        <bgColor indexed="64"/>
      </patternFill>
    </fill>
    <fill>
      <patternFill patternType="solid">
        <fgColor rgb="FFDDDDDD"/>
        <bgColor indexed="64"/>
      </patternFill>
    </fill>
    <fill>
      <patternFill patternType="solid">
        <fgColor theme="6" tint="0.79998168889431442"/>
        <bgColor indexed="64"/>
      </patternFill>
    </fill>
  </fills>
  <borders count="66">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right/>
      <top style="thin">
        <color rgb="FF000000"/>
      </top>
      <bottom style="thin">
        <color rgb="FF000000"/>
      </bottom>
      <diagonal/>
    </border>
    <border>
      <left style="thin">
        <color indexed="64"/>
      </left>
      <right style="thin">
        <color indexed="64"/>
      </right>
      <top/>
      <bottom/>
      <diagonal/>
    </border>
    <border>
      <left style="medium">
        <color indexed="64"/>
      </left>
      <right/>
      <top/>
      <bottom/>
      <diagonal/>
    </border>
    <border>
      <left style="thin">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indexed="64"/>
      </left>
      <right style="thin">
        <color indexed="64"/>
      </right>
      <top/>
      <bottom/>
      <diagonal/>
    </border>
    <border>
      <left style="thin">
        <color indexed="64"/>
      </left>
      <right style="thick">
        <color indexed="64"/>
      </right>
      <top/>
      <bottom/>
      <diagonal/>
    </border>
    <border>
      <left/>
      <right/>
      <top/>
      <bottom style="thick">
        <color theme="4" tint="0.49998474074526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ck">
        <color indexed="64"/>
      </left>
      <right/>
      <top/>
      <bottom/>
      <diagonal/>
    </border>
    <border>
      <left/>
      <right style="thick">
        <color indexed="64"/>
      </right>
      <top/>
      <bottom/>
      <diagonal/>
    </border>
    <border>
      <left/>
      <right/>
      <top style="thin">
        <color indexed="64"/>
      </top>
      <bottom/>
      <diagonal/>
    </border>
    <border>
      <left/>
      <right/>
      <top/>
      <bottom style="medium">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top/>
      <bottom style="thick">
        <color rgb="FFA7BFDE"/>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ck">
        <color indexed="64"/>
      </right>
      <top/>
      <bottom style="medium">
        <color indexed="64"/>
      </bottom>
      <diagonal/>
    </border>
    <border>
      <left style="thick">
        <color indexed="64"/>
      </left>
      <right style="thin">
        <color indexed="64"/>
      </right>
      <top/>
      <bottom style="medium">
        <color indexed="64"/>
      </bottom>
      <diagonal/>
    </border>
    <border>
      <left style="thin">
        <color indexed="64"/>
      </left>
      <right style="thick">
        <color indexed="64"/>
      </right>
      <top/>
      <bottom style="medium">
        <color indexed="64"/>
      </bottom>
      <diagonal/>
    </border>
    <border>
      <left style="thin">
        <color indexed="64"/>
      </left>
      <right style="medium">
        <color indexed="64"/>
      </right>
      <top style="medium">
        <color indexed="64"/>
      </top>
      <bottom/>
      <diagonal/>
    </border>
    <border>
      <left style="thick">
        <color indexed="64"/>
      </left>
      <right/>
      <top/>
      <bottom style="medium">
        <color indexed="64"/>
      </bottom>
      <diagonal/>
    </border>
    <border>
      <left style="medium">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bottom style="thin">
        <color rgb="FF000000"/>
      </bottom>
      <diagonal/>
    </border>
    <border>
      <left style="thick">
        <color indexed="64"/>
      </left>
      <right style="thick">
        <color indexed="64"/>
      </right>
      <top/>
      <bottom/>
      <diagonal/>
    </border>
    <border>
      <left style="thick">
        <color indexed="64"/>
      </left>
      <right style="thick">
        <color indexed="64"/>
      </right>
      <top/>
      <bottom style="medium">
        <color indexed="64"/>
      </bottom>
      <diagonal/>
    </border>
  </borders>
  <cellStyleXfs count="134">
    <xf numFmtId="0" fontId="0" fillId="0" borderId="0"/>
    <xf numFmtId="0" fontId="7"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5" fillId="0" borderId="0"/>
    <xf numFmtId="0" fontId="5" fillId="0" borderId="0"/>
    <xf numFmtId="0" fontId="10" fillId="0" borderId="0"/>
    <xf numFmtId="0" fontId="5" fillId="0" borderId="0"/>
    <xf numFmtId="0" fontId="10" fillId="0" borderId="0"/>
    <xf numFmtId="0" fontId="10" fillId="0" borderId="0"/>
    <xf numFmtId="0" fontId="5" fillId="0" borderId="0"/>
    <xf numFmtId="0" fontId="5" fillId="0" borderId="0"/>
    <xf numFmtId="0" fontId="5" fillId="0" borderId="0"/>
    <xf numFmtId="0" fontId="5" fillId="0" borderId="0"/>
    <xf numFmtId="0" fontId="14" fillId="0" borderId="4" applyNumberFormat="0" applyFill="0" applyAlignment="0" applyProtection="0"/>
    <xf numFmtId="0" fontId="15" fillId="0" borderId="0"/>
    <xf numFmtId="166" fontId="15" fillId="0" borderId="0" applyFon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3" borderId="0" applyNumberFormat="0" applyBorder="0">
      <protection locked="0"/>
    </xf>
    <xf numFmtId="0" fontId="16" fillId="3" borderId="0" applyNumberFormat="0" applyBorder="0">
      <protection locked="0"/>
    </xf>
    <xf numFmtId="0" fontId="16" fillId="3" borderId="0" applyNumberFormat="0" applyBorder="0">
      <protection locked="0"/>
    </xf>
    <xf numFmtId="0" fontId="16" fillId="4" borderId="11" applyNumberFormat="0">
      <alignment horizontal="center" vertical="center"/>
      <protection locked="0"/>
    </xf>
    <xf numFmtId="0" fontId="16" fillId="4" borderId="11" applyNumberFormat="0">
      <alignment horizontal="center" vertical="center"/>
      <protection locked="0"/>
    </xf>
    <xf numFmtId="0" fontId="16" fillId="4" borderId="11" applyNumberFormat="0">
      <alignment horizontal="center" vertical="center"/>
      <protection locked="0"/>
    </xf>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6" fillId="5" borderId="0" applyNumberFormat="0" applyBorder="0">
      <protection locked="0"/>
    </xf>
    <xf numFmtId="0" fontId="16" fillId="5" borderId="0" applyNumberFormat="0" applyBorder="0">
      <protection locked="0"/>
    </xf>
    <xf numFmtId="0" fontId="16" fillId="5" borderId="0" applyNumberFormat="0" applyBorder="0">
      <protection locked="0"/>
    </xf>
    <xf numFmtId="0" fontId="18" fillId="4" borderId="0" applyNumberFormat="0" applyBorder="0">
      <alignment vertical="center"/>
      <protection locked="0"/>
    </xf>
    <xf numFmtId="0" fontId="18" fillId="4" borderId="0" applyNumberFormat="0" applyBorder="0">
      <alignment vertical="center"/>
      <protection locked="0"/>
    </xf>
    <xf numFmtId="0" fontId="18" fillId="0" borderId="0" applyNumberFormat="0" applyBorder="0">
      <protection locked="0"/>
    </xf>
    <xf numFmtId="0" fontId="18" fillId="0" borderId="0" applyNumberFormat="0" applyBorder="0">
      <protection locked="0"/>
    </xf>
    <xf numFmtId="0" fontId="19" fillId="0" borderId="0" applyNumberFormat="0" applyBorder="0">
      <protection locked="0"/>
    </xf>
    <xf numFmtId="0" fontId="19" fillId="0" borderId="0" applyNumberFormat="0" applyBorder="0">
      <protection locked="0"/>
    </xf>
    <xf numFmtId="0" fontId="18" fillId="0" borderId="0" applyNumberFormat="0" applyBorder="0" applyProtection="0"/>
    <xf numFmtId="0" fontId="18" fillId="0" borderId="0" applyNumberFormat="0" applyBorder="0" applyProtection="0"/>
    <xf numFmtId="0" fontId="18" fillId="0" borderId="0" applyNumberFormat="0" applyBorder="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23" fillId="0" borderId="0" applyNumberFormat="0" applyFill="0" applyBorder="0" applyAlignment="0" applyProtection="0"/>
    <xf numFmtId="0" fontId="15" fillId="0" borderId="0" applyNumberFormat="0" applyFont="0" applyBorder="0" applyProtection="0"/>
    <xf numFmtId="0" fontId="16" fillId="0" borderId="0" applyNumberFormat="0" applyBorder="0" applyProtection="0"/>
    <xf numFmtId="0" fontId="16" fillId="0" borderId="0" applyNumberFormat="0" applyBorder="0" applyProtection="0"/>
    <xf numFmtId="0" fontId="16" fillId="0" borderId="0" applyNumberFormat="0" applyBorder="0" applyProtection="0"/>
    <xf numFmtId="0" fontId="16" fillId="0" borderId="0" applyNumberFormat="0" applyBorder="0" applyProtection="0"/>
    <xf numFmtId="0" fontId="16" fillId="0" borderId="0" applyNumberFormat="0" applyBorder="0" applyProtection="0"/>
    <xf numFmtId="0" fontId="16" fillId="0" borderId="0" applyNumberFormat="0" applyBorder="0" applyProtection="0"/>
    <xf numFmtId="0" fontId="16" fillId="0" borderId="0" applyNumberFormat="0" applyBorder="0" applyProtection="0"/>
    <xf numFmtId="0" fontId="16" fillId="0" borderId="0" applyNumberFormat="0" applyBorder="0" applyProtection="0"/>
    <xf numFmtId="0" fontId="16" fillId="0" borderId="0" applyNumberFormat="0" applyBorder="0" applyProtection="0"/>
    <xf numFmtId="0" fontId="16" fillId="0" borderId="0" applyNumberFormat="0" applyBorder="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Border="0" applyProtection="0"/>
    <xf numFmtId="0" fontId="16" fillId="0" borderId="0" applyNumberFormat="0" applyBorder="0" applyProtection="0"/>
    <xf numFmtId="0" fontId="16" fillId="0" borderId="0" applyNumberFormat="0" applyFill="0" applyBorder="0" applyAlignment="0" applyProtection="0"/>
    <xf numFmtId="0" fontId="16" fillId="0" borderId="0" applyNumberFormat="0" applyBorder="0" applyProtection="0"/>
    <xf numFmtId="0" fontId="16" fillId="0" borderId="0" applyNumberFormat="0" applyBorder="0" applyProtection="0"/>
    <xf numFmtId="0" fontId="17"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Border="0" applyProtection="0"/>
    <xf numFmtId="0" fontId="16" fillId="0" borderId="0" applyNumberFormat="0" applyBorder="0" applyProtection="0"/>
    <xf numFmtId="0" fontId="16" fillId="0" borderId="0" applyNumberFormat="0" applyBorder="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Border="0" applyProtection="0"/>
    <xf numFmtId="0" fontId="16" fillId="0" borderId="0" applyNumberFormat="0" applyBorder="0" applyProtection="0"/>
    <xf numFmtId="0" fontId="16" fillId="0" borderId="0" applyNumberFormat="0" applyBorder="0" applyProtection="0"/>
    <xf numFmtId="0" fontId="15" fillId="6" borderId="5" applyNumberFormat="0" applyFont="0" applyAlignment="0" applyProtection="0"/>
    <xf numFmtId="0" fontId="15" fillId="6" borderId="5" applyNumberFormat="0" applyFont="0" applyAlignment="0" applyProtection="0"/>
    <xf numFmtId="0" fontId="16" fillId="0" borderId="0" applyNumberForma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6" fillId="0" borderId="0" applyNumberFormat="0" applyBorder="0" applyProtection="0"/>
    <xf numFmtId="0" fontId="16" fillId="4" borderId="12" applyNumberFormat="0">
      <alignment vertical="center"/>
      <protection locked="0"/>
    </xf>
    <xf numFmtId="0" fontId="16" fillId="4" borderId="12" applyNumberFormat="0">
      <alignment vertical="center"/>
      <protection locked="0"/>
    </xf>
    <xf numFmtId="0" fontId="16" fillId="4" borderId="12" applyNumberFormat="0">
      <alignment vertical="center"/>
      <protection locked="0"/>
    </xf>
    <xf numFmtId="0" fontId="16" fillId="3" borderId="0" applyNumberFormat="0" applyBorder="0">
      <protection locked="0"/>
    </xf>
    <xf numFmtId="0" fontId="16" fillId="3" borderId="0" applyNumberFormat="0" applyBorder="0">
      <protection locked="0"/>
    </xf>
    <xf numFmtId="0" fontId="16" fillId="3" borderId="0" applyNumberFormat="0" applyBorder="0">
      <protection locked="0"/>
    </xf>
    <xf numFmtId="0" fontId="39" fillId="0" borderId="22" applyNumberFormat="0" applyFill="0" applyAlignment="0" applyProtection="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9" fontId="81" fillId="0" borderId="0" applyFont="0" applyFill="0" applyBorder="0" applyAlignment="0" applyProtection="0"/>
  </cellStyleXfs>
  <cellXfs count="482">
    <xf numFmtId="0" fontId="0" fillId="0" borderId="0" xfId="0"/>
    <xf numFmtId="0" fontId="0" fillId="0" borderId="0" xfId="0" applyAlignment="1">
      <alignment horizontal="center"/>
    </xf>
    <xf numFmtId="0" fontId="5" fillId="0" borderId="0" xfId="0" applyFont="1" applyAlignment="1">
      <alignment horizontal="center"/>
    </xf>
    <xf numFmtId="0" fontId="0" fillId="0" borderId="0" xfId="0" applyAlignment="1">
      <alignment horizontal="left"/>
    </xf>
    <xf numFmtId="0" fontId="8" fillId="0" borderId="0" xfId="0" applyFont="1" applyAlignment="1">
      <alignment horizontal="center"/>
    </xf>
    <xf numFmtId="0" fontId="5" fillId="0" borderId="0" xfId="0" applyFont="1" applyAlignment="1">
      <alignment horizontal="left"/>
    </xf>
    <xf numFmtId="0" fontId="10" fillId="0" borderId="0" xfId="9"/>
    <xf numFmtId="0" fontId="9" fillId="0" borderId="0" xfId="0" applyFont="1"/>
    <xf numFmtId="0" fontId="12" fillId="2" borderId="0" xfId="0" applyFont="1" applyFill="1"/>
    <xf numFmtId="0" fontId="13" fillId="2" borderId="0" xfId="1" applyFont="1" applyFill="1" applyBorder="1" applyAlignment="1" applyProtection="1"/>
    <xf numFmtId="0" fontId="13" fillId="0" borderId="0" xfId="1" applyFont="1" applyBorder="1" applyAlignment="1" applyProtection="1"/>
    <xf numFmtId="0" fontId="13" fillId="0" borderId="0" xfId="1" applyFont="1" applyAlignment="1" applyProtection="1"/>
    <xf numFmtId="0" fontId="14" fillId="0" borderId="0" xfId="15" applyBorder="1" applyAlignment="1"/>
    <xf numFmtId="0" fontId="14" fillId="0" borderId="0" xfId="15" applyFill="1" applyBorder="1" applyAlignment="1"/>
    <xf numFmtId="0" fontId="9" fillId="0" borderId="0" xfId="5" applyFont="1"/>
    <xf numFmtId="0" fontId="28" fillId="0" borderId="0" xfId="0" applyFont="1"/>
    <xf numFmtId="0" fontId="28" fillId="0" borderId="0" xfId="0" applyFont="1" applyAlignment="1">
      <alignment horizontal="center"/>
    </xf>
    <xf numFmtId="0" fontId="29" fillId="0" borderId="0" xfId="0" applyFont="1" applyAlignment="1">
      <alignment horizontal="center"/>
    </xf>
    <xf numFmtId="0" fontId="30" fillId="0" borderId="0" xfId="0" applyFont="1" applyAlignment="1">
      <alignment vertical="center"/>
    </xf>
    <xf numFmtId="0" fontId="28" fillId="0" borderId="0" xfId="0" applyFont="1" applyAlignment="1">
      <alignment vertical="center"/>
    </xf>
    <xf numFmtId="0" fontId="30" fillId="0" borderId="0" xfId="0" applyFont="1"/>
    <xf numFmtId="0" fontId="28" fillId="0" borderId="0" xfId="0" applyFont="1" applyAlignment="1">
      <alignment horizontal="center" vertical="center"/>
    </xf>
    <xf numFmtId="0" fontId="31" fillId="0" borderId="0" xfId="0" applyFont="1"/>
    <xf numFmtId="0" fontId="28" fillId="2" borderId="0" xfId="0" applyFont="1" applyFill="1"/>
    <xf numFmtId="164" fontId="31" fillId="2" borderId="0" xfId="0" applyNumberFormat="1" applyFont="1" applyFill="1" applyAlignment="1">
      <alignment horizontal="center" vertical="center"/>
    </xf>
    <xf numFmtId="0" fontId="34" fillId="0" borderId="0" xfId="9" applyFont="1"/>
    <xf numFmtId="0" fontId="36" fillId="0" borderId="0" xfId="0" applyFont="1"/>
    <xf numFmtId="0" fontId="41" fillId="0" borderId="0" xfId="0" applyFont="1"/>
    <xf numFmtId="0" fontId="27" fillId="0" borderId="0" xfId="0" applyFont="1"/>
    <xf numFmtId="0" fontId="5" fillId="0" borderId="0" xfId="0" applyFont="1"/>
    <xf numFmtId="0" fontId="40" fillId="0" borderId="0" xfId="15" applyFont="1" applyBorder="1"/>
    <xf numFmtId="0" fontId="7" fillId="0" borderId="0" xfId="1" applyBorder="1" applyAlignment="1" applyProtection="1"/>
    <xf numFmtId="0" fontId="41" fillId="0" borderId="0" xfId="2" applyFont="1" applyBorder="1" applyAlignment="1" applyProtection="1">
      <alignment horizontal="left"/>
    </xf>
    <xf numFmtId="0" fontId="28" fillId="0" borderId="0" xfId="0" applyFont="1" applyAlignment="1">
      <alignment wrapText="1"/>
    </xf>
    <xf numFmtId="0" fontId="43" fillId="0" borderId="0" xfId="2" applyFont="1" applyAlignment="1" applyProtection="1"/>
    <xf numFmtId="0" fontId="41" fillId="0" borderId="0" xfId="0" applyFont="1" applyAlignment="1">
      <alignment vertical="center"/>
    </xf>
    <xf numFmtId="0" fontId="46" fillId="0" borderId="0" xfId="0" applyFont="1" applyAlignment="1">
      <alignment vertical="center"/>
    </xf>
    <xf numFmtId="0" fontId="34" fillId="0" borderId="0" xfId="0" applyFont="1" applyAlignment="1">
      <alignment vertical="center"/>
    </xf>
    <xf numFmtId="0" fontId="44" fillId="0" borderId="0" xfId="1" applyFont="1" applyAlignment="1" applyProtection="1">
      <alignment vertical="center"/>
    </xf>
    <xf numFmtId="0" fontId="28" fillId="7" borderId="0" xfId="0" applyFont="1" applyFill="1"/>
    <xf numFmtId="0" fontId="28" fillId="7" borderId="0" xfId="1" applyFont="1" applyFill="1" applyBorder="1" applyAlignment="1" applyProtection="1"/>
    <xf numFmtId="0" fontId="47" fillId="0" borderId="0" xfId="0" applyFont="1" applyAlignment="1">
      <alignment vertical="center"/>
    </xf>
    <xf numFmtId="0" fontId="48" fillId="0" borderId="0" xfId="0" applyFont="1"/>
    <xf numFmtId="0" fontId="45" fillId="0" borderId="0" xfId="1" applyFont="1" applyAlignment="1" applyProtection="1"/>
    <xf numFmtId="0" fontId="13" fillId="2" borderId="0" xfId="0" applyFont="1" applyFill="1"/>
    <xf numFmtId="165" fontId="0" fillId="0" borderId="0" xfId="0" applyNumberFormat="1"/>
    <xf numFmtId="0" fontId="0" fillId="2" borderId="0" xfId="0" applyFill="1"/>
    <xf numFmtId="0" fontId="55" fillId="0" borderId="0" xfId="0" applyFont="1"/>
    <xf numFmtId="0" fontId="5" fillId="2" borderId="0" xfId="0" applyFont="1" applyFill="1"/>
    <xf numFmtId="0" fontId="28" fillId="0" borderId="17" xfId="0" applyFont="1" applyBorder="1" applyAlignment="1">
      <alignment vertical="center"/>
    </xf>
    <xf numFmtId="0" fontId="52" fillId="0" borderId="0" xfId="0" applyFont="1" applyAlignment="1">
      <alignment vertical="center"/>
    </xf>
    <xf numFmtId="0" fontId="28" fillId="0" borderId="0" xfId="0" applyFont="1" applyAlignment="1">
      <alignment horizontal="left" vertical="center"/>
    </xf>
    <xf numFmtId="0" fontId="28" fillId="0" borderId="0" xfId="0" applyFont="1" applyAlignment="1">
      <alignment vertical="center" wrapText="1"/>
    </xf>
    <xf numFmtId="0" fontId="28" fillId="0" borderId="0" xfId="0" applyFont="1" applyAlignment="1">
      <alignment horizontal="left" vertical="center" wrapText="1"/>
    </xf>
    <xf numFmtId="0" fontId="56" fillId="0" borderId="0" xfId="72" applyFont="1"/>
    <xf numFmtId="0" fontId="57" fillId="0" borderId="0" xfId="16" applyFont="1" applyAlignment="1">
      <alignment horizontal="left" vertical="top" wrapText="1"/>
    </xf>
    <xf numFmtId="0" fontId="34" fillId="2" borderId="0" xfId="0" applyFont="1" applyFill="1"/>
    <xf numFmtId="0" fontId="28" fillId="0" borderId="0" xfId="0" applyFont="1" applyAlignment="1">
      <alignment horizontal="left"/>
    </xf>
    <xf numFmtId="0" fontId="28" fillId="7" borderId="15" xfId="0" applyFont="1" applyFill="1" applyBorder="1" applyAlignment="1">
      <alignment horizontal="right"/>
    </xf>
    <xf numFmtId="0" fontId="30" fillId="7" borderId="6" xfId="0" applyFont="1" applyFill="1" applyBorder="1" applyAlignment="1">
      <alignment horizontal="right"/>
    </xf>
    <xf numFmtId="0" fontId="28" fillId="7" borderId="0" xfId="0" applyFont="1" applyFill="1" applyAlignment="1">
      <alignment horizontal="right"/>
    </xf>
    <xf numFmtId="0" fontId="28" fillId="0" borderId="0" xfId="2" applyFont="1" applyBorder="1" applyAlignment="1" applyProtection="1">
      <alignment horizontal="left"/>
    </xf>
    <xf numFmtId="0" fontId="28" fillId="7" borderId="0" xfId="0" applyFont="1" applyFill="1" applyAlignment="1">
      <alignment horizontal="right" vertical="center"/>
    </xf>
    <xf numFmtId="0" fontId="30" fillId="7" borderId="0" xfId="0" applyFont="1" applyFill="1" applyAlignment="1">
      <alignment horizontal="right" vertical="center"/>
    </xf>
    <xf numFmtId="0" fontId="30" fillId="7" borderId="0" xfId="0" applyFont="1" applyFill="1" applyAlignment="1">
      <alignment horizontal="right"/>
    </xf>
    <xf numFmtId="0" fontId="33" fillId="7" borderId="0" xfId="0" applyFont="1" applyFill="1" applyAlignment="1">
      <alignment horizontal="right" vertical="center"/>
    </xf>
    <xf numFmtId="164" fontId="33" fillId="7" borderId="0" xfId="0" applyNumberFormat="1" applyFont="1" applyFill="1" applyAlignment="1">
      <alignment horizontal="right" vertical="center"/>
    </xf>
    <xf numFmtId="164" fontId="37" fillId="7" borderId="0" xfId="0" applyNumberFormat="1" applyFont="1" applyFill="1" applyAlignment="1">
      <alignment horizontal="right" vertical="center"/>
    </xf>
    <xf numFmtId="164" fontId="33" fillId="7" borderId="0" xfId="0" applyNumberFormat="1" applyFont="1" applyFill="1" applyAlignment="1">
      <alignment horizontal="right" vertical="center" wrapText="1"/>
    </xf>
    <xf numFmtId="0" fontId="33" fillId="7" borderId="15" xfId="0" applyFont="1" applyFill="1" applyBorder="1" applyAlignment="1">
      <alignment horizontal="right" vertical="center"/>
    </xf>
    <xf numFmtId="0" fontId="33" fillId="7" borderId="7" xfId="0" applyFont="1" applyFill="1" applyBorder="1" applyAlignment="1">
      <alignment horizontal="right" vertical="center"/>
    </xf>
    <xf numFmtId="165" fontId="28" fillId="7" borderId="15" xfId="5" applyNumberFormat="1" applyFont="1" applyFill="1" applyBorder="1" applyAlignment="1">
      <alignment horizontal="right"/>
    </xf>
    <xf numFmtId="165" fontId="34" fillId="7" borderId="0" xfId="9" applyNumberFormat="1" applyFont="1" applyFill="1" applyAlignment="1">
      <alignment horizontal="right"/>
    </xf>
    <xf numFmtId="165" fontId="28" fillId="7" borderId="0" xfId="5" applyNumberFormat="1" applyFont="1" applyFill="1" applyAlignment="1">
      <alignment horizontal="right"/>
    </xf>
    <xf numFmtId="0" fontId="28" fillId="7" borderId="15" xfId="5" applyFont="1" applyFill="1" applyBorder="1" applyAlignment="1">
      <alignment horizontal="right"/>
    </xf>
    <xf numFmtId="0" fontId="34" fillId="7" borderId="0" xfId="9" applyFont="1" applyFill="1" applyAlignment="1">
      <alignment horizontal="right"/>
    </xf>
    <xf numFmtId="0" fontId="28" fillId="7" borderId="0" xfId="5" applyFont="1" applyFill="1" applyAlignment="1">
      <alignment horizontal="right"/>
    </xf>
    <xf numFmtId="0" fontId="30" fillId="7" borderId="28" xfId="0" applyFont="1" applyFill="1" applyBorder="1" applyAlignment="1">
      <alignment horizontal="right"/>
    </xf>
    <xf numFmtId="165" fontId="29" fillId="7" borderId="15" xfId="0" applyNumberFormat="1" applyFont="1" applyFill="1" applyBorder="1" applyAlignment="1">
      <alignment horizontal="right"/>
    </xf>
    <xf numFmtId="165" fontId="29" fillId="7" borderId="13" xfId="0" applyNumberFormat="1" applyFont="1" applyFill="1" applyBorder="1" applyAlignment="1">
      <alignment horizontal="right"/>
    </xf>
    <xf numFmtId="164" fontId="60" fillId="7" borderId="0" xfId="0" applyNumberFormat="1" applyFont="1" applyFill="1" applyAlignment="1">
      <alignment horizontal="right" vertical="center"/>
    </xf>
    <xf numFmtId="0" fontId="61" fillId="7" borderId="0" xfId="0" applyFont="1" applyFill="1" applyAlignment="1">
      <alignment horizontal="right" vertical="center"/>
    </xf>
    <xf numFmtId="0" fontId="61" fillId="7" borderId="0" xfId="0" applyFont="1" applyFill="1" applyAlignment="1">
      <alignment horizontal="right"/>
    </xf>
    <xf numFmtId="0" fontId="30" fillId="7" borderId="13" xfId="0" applyFont="1" applyFill="1" applyBorder="1" applyAlignment="1">
      <alignment horizontal="right"/>
    </xf>
    <xf numFmtId="0" fontId="30" fillId="7" borderId="15" xfId="0" applyFont="1" applyFill="1" applyBorder="1" applyAlignment="1">
      <alignment horizontal="right"/>
    </xf>
    <xf numFmtId="0" fontId="6" fillId="0" borderId="0" xfId="2" applyBorder="1" applyAlignment="1" applyProtection="1"/>
    <xf numFmtId="165" fontId="31" fillId="2" borderId="0" xfId="0" applyNumberFormat="1" applyFont="1" applyFill="1" applyAlignment="1">
      <alignment horizontal="right"/>
    </xf>
    <xf numFmtId="0" fontId="0" fillId="0" borderId="0" xfId="0" applyAlignment="1">
      <alignment wrapText="1"/>
    </xf>
    <xf numFmtId="0" fontId="64" fillId="0" borderId="0" xfId="15" applyFont="1" applyBorder="1"/>
    <xf numFmtId="0" fontId="65" fillId="0" borderId="0" xfId="0" applyFont="1" applyAlignment="1">
      <alignment horizontal="left" vertical="top"/>
    </xf>
    <xf numFmtId="0" fontId="65" fillId="0" borderId="0" xfId="0" applyFont="1"/>
    <xf numFmtId="0" fontId="66" fillId="0" borderId="0" xfId="0" applyFont="1"/>
    <xf numFmtId="0" fontId="7" fillId="0" borderId="0" xfId="1" applyAlignment="1" applyProtection="1"/>
    <xf numFmtId="0" fontId="68" fillId="0" borderId="0" xfId="0" applyFont="1"/>
    <xf numFmtId="0" fontId="69" fillId="0" borderId="0" xfId="0" applyFont="1" applyAlignment="1">
      <alignment horizontal="left"/>
    </xf>
    <xf numFmtId="0" fontId="69" fillId="0" borderId="0" xfId="0" applyFont="1" applyAlignment="1">
      <alignment horizontal="right"/>
    </xf>
    <xf numFmtId="0" fontId="18" fillId="0" borderId="0" xfId="0" applyFont="1" applyAlignment="1">
      <alignment horizontal="center" vertical="center" wrapText="1"/>
    </xf>
    <xf numFmtId="0" fontId="28" fillId="0" borderId="0" xfId="1" applyFont="1" applyAlignment="1" applyProtection="1"/>
    <xf numFmtId="0" fontId="71" fillId="0" borderId="0" xfId="1" applyFont="1" applyBorder="1" applyAlignment="1" applyProtection="1"/>
    <xf numFmtId="0" fontId="45" fillId="0" borderId="0" xfId="1" applyFont="1" applyAlignment="1" applyProtection="1">
      <alignment vertical="center"/>
    </xf>
    <xf numFmtId="165" fontId="29" fillId="7" borderId="2" xfId="0" applyNumberFormat="1" applyFont="1" applyFill="1" applyBorder="1" applyAlignment="1">
      <alignment horizontal="right"/>
    </xf>
    <xf numFmtId="165" fontId="29" fillId="7" borderId="10" xfId="0" applyNumberFormat="1" applyFont="1" applyFill="1" applyBorder="1" applyAlignment="1">
      <alignment horizontal="right"/>
    </xf>
    <xf numFmtId="0" fontId="72" fillId="8" borderId="33" xfId="123" applyFont="1" applyFill="1" applyBorder="1" applyAlignment="1">
      <alignment horizontal="justify" wrapText="1"/>
    </xf>
    <xf numFmtId="0" fontId="66" fillId="8" borderId="0" xfId="0" applyFont="1" applyFill="1"/>
    <xf numFmtId="0" fontId="74" fillId="0" borderId="33" xfId="123" applyFont="1" applyBorder="1" applyAlignment="1">
      <alignment wrapText="1"/>
    </xf>
    <xf numFmtId="0" fontId="73" fillId="0" borderId="0" xfId="68" applyFont="1" applyAlignment="1"/>
    <xf numFmtId="0" fontId="2" fillId="0" borderId="0" xfId="9" applyFont="1"/>
    <xf numFmtId="0" fontId="75" fillId="0" borderId="0" xfId="0" applyFont="1"/>
    <xf numFmtId="167" fontId="10" fillId="0" borderId="0" xfId="9" applyNumberFormat="1"/>
    <xf numFmtId="165" fontId="10" fillId="0" borderId="0" xfId="9" applyNumberFormat="1"/>
    <xf numFmtId="165" fontId="1" fillId="0" borderId="0" xfId="9" applyNumberFormat="1" applyFont="1"/>
    <xf numFmtId="167" fontId="1" fillId="0" borderId="0" xfId="9" applyNumberFormat="1" applyFont="1"/>
    <xf numFmtId="165" fontId="28" fillId="2" borderId="0" xfId="0" applyNumberFormat="1" applyFont="1" applyFill="1" applyAlignment="1">
      <alignment horizontal="right"/>
    </xf>
    <xf numFmtId="0" fontId="12" fillId="0" borderId="0" xfId="0" applyFont="1"/>
    <xf numFmtId="0" fontId="12" fillId="0" borderId="0" xfId="0" applyFont="1" applyAlignment="1">
      <alignment vertical="center"/>
    </xf>
    <xf numFmtId="0" fontId="76" fillId="0" borderId="0" xfId="0" applyFont="1" applyAlignment="1">
      <alignment horizontal="center" vertical="center"/>
    </xf>
    <xf numFmtId="0" fontId="77" fillId="8" borderId="0" xfId="0" applyFont="1" applyFill="1" applyAlignment="1">
      <alignment horizontal="left" wrapText="1"/>
    </xf>
    <xf numFmtId="0" fontId="70" fillId="8" borderId="0" xfId="68" applyFont="1" applyFill="1" applyAlignment="1">
      <alignment horizontal="justify" vertical="center" wrapText="1"/>
    </xf>
    <xf numFmtId="0" fontId="77" fillId="8" borderId="0" xfId="0" applyFont="1" applyFill="1" applyAlignment="1">
      <alignment wrapText="1"/>
    </xf>
    <xf numFmtId="0" fontId="77" fillId="0" borderId="0" xfId="0" applyFont="1" applyAlignment="1">
      <alignment wrapText="1"/>
    </xf>
    <xf numFmtId="49" fontId="77" fillId="0" borderId="0" xfId="0" applyNumberFormat="1" applyFont="1" applyAlignment="1">
      <alignment wrapText="1"/>
    </xf>
    <xf numFmtId="0" fontId="70" fillId="8" borderId="0" xfId="68" applyFont="1" applyFill="1" applyAlignment="1">
      <alignment wrapText="1"/>
    </xf>
    <xf numFmtId="0" fontId="77" fillId="8" borderId="0" xfId="0" applyFont="1" applyFill="1" applyAlignment="1">
      <alignment horizontal="justify" wrapText="1"/>
    </xf>
    <xf numFmtId="0" fontId="29" fillId="2" borderId="13" xfId="0" applyFont="1" applyFill="1" applyBorder="1" applyAlignment="1">
      <alignment horizontal="left"/>
    </xf>
    <xf numFmtId="0" fontId="29" fillId="2" borderId="10" xfId="0" applyFont="1" applyFill="1" applyBorder="1" applyAlignment="1">
      <alignment horizontal="left"/>
    </xf>
    <xf numFmtId="0" fontId="30" fillId="2" borderId="7" xfId="0" applyFont="1" applyFill="1" applyBorder="1" applyAlignment="1">
      <alignment horizontal="right"/>
    </xf>
    <xf numFmtId="0" fontId="30" fillId="2" borderId="9" xfId="0" applyFont="1" applyFill="1" applyBorder="1" applyAlignment="1">
      <alignment horizontal="left"/>
    </xf>
    <xf numFmtId="0" fontId="30" fillId="2" borderId="6" xfId="0" applyFont="1" applyFill="1" applyBorder="1" applyAlignment="1">
      <alignment horizontal="right"/>
    </xf>
    <xf numFmtId="165" fontId="29" fillId="2" borderId="7" xfId="0" applyNumberFormat="1" applyFont="1" applyFill="1" applyBorder="1" applyAlignment="1">
      <alignment horizontal="right"/>
    </xf>
    <xf numFmtId="0" fontId="30" fillId="2" borderId="13" xfId="0" applyFont="1" applyFill="1" applyBorder="1" applyAlignment="1">
      <alignment horizontal="left"/>
    </xf>
    <xf numFmtId="0" fontId="30" fillId="7" borderId="7" xfId="0" applyFont="1" applyFill="1" applyBorder="1" applyAlignment="1">
      <alignment horizontal="right"/>
    </xf>
    <xf numFmtId="164" fontId="33" fillId="7" borderId="29" xfId="0" applyNumberFormat="1" applyFont="1" applyFill="1" applyBorder="1" applyAlignment="1">
      <alignment horizontal="right"/>
    </xf>
    <xf numFmtId="165" fontId="29" fillId="2" borderId="8" xfId="0" applyNumberFormat="1" applyFont="1" applyFill="1" applyBorder="1" applyAlignment="1">
      <alignment horizontal="right"/>
    </xf>
    <xf numFmtId="0" fontId="28" fillId="2" borderId="13" xfId="0" applyFont="1" applyFill="1" applyBorder="1" applyAlignment="1">
      <alignment horizontal="left"/>
    </xf>
    <xf numFmtId="0" fontId="28" fillId="2" borderId="10" xfId="0" applyFont="1" applyFill="1" applyBorder="1" applyAlignment="1">
      <alignment horizontal="left"/>
    </xf>
    <xf numFmtId="0" fontId="28" fillId="2" borderId="0" xfId="0" applyFont="1" applyFill="1" applyAlignment="1">
      <alignment horizontal="left"/>
    </xf>
    <xf numFmtId="165" fontId="28" fillId="2" borderId="0" xfId="0" applyNumberFormat="1" applyFont="1" applyFill="1" applyAlignment="1">
      <alignment horizontal="right" vertical="top"/>
    </xf>
    <xf numFmtId="0" fontId="28" fillId="2" borderId="0" xfId="0" applyFont="1" applyFill="1" applyAlignment="1">
      <alignment vertical="center"/>
    </xf>
    <xf numFmtId="0" fontId="30" fillId="2" borderId="0" xfId="0" applyFont="1" applyFill="1" applyAlignment="1">
      <alignment vertical="center"/>
    </xf>
    <xf numFmtId="0" fontId="33" fillId="2" borderId="0" xfId="0" applyFont="1" applyFill="1" applyAlignment="1">
      <alignment horizontal="left" vertical="center"/>
    </xf>
    <xf numFmtId="0" fontId="28" fillId="2" borderId="15" xfId="5" applyFont="1" applyFill="1" applyBorder="1" applyAlignment="1">
      <alignment horizontal="right" wrapText="1"/>
    </xf>
    <xf numFmtId="0" fontId="28" fillId="9" borderId="15" xfId="0" applyFont="1" applyFill="1" applyBorder="1" applyAlignment="1">
      <alignment horizontal="right"/>
    </xf>
    <xf numFmtId="0" fontId="28" fillId="9" borderId="35" xfId="0" applyFont="1" applyFill="1" applyBorder="1" applyAlignment="1">
      <alignment horizontal="right"/>
    </xf>
    <xf numFmtId="0" fontId="30" fillId="9" borderId="15" xfId="0" applyFont="1" applyFill="1" applyBorder="1" applyAlignment="1">
      <alignment horizontal="right"/>
    </xf>
    <xf numFmtId="0" fontId="30" fillId="9" borderId="36" xfId="0" applyFont="1" applyFill="1" applyBorder="1" applyAlignment="1">
      <alignment horizontal="right"/>
    </xf>
    <xf numFmtId="0" fontId="28" fillId="9" borderId="46" xfId="0" applyFont="1" applyFill="1" applyBorder="1" applyAlignment="1">
      <alignment horizontal="right" vertical="top"/>
    </xf>
    <xf numFmtId="165" fontId="28" fillId="9" borderId="0" xfId="0" applyNumberFormat="1" applyFont="1" applyFill="1" applyAlignment="1">
      <alignment horizontal="right" vertical="top"/>
    </xf>
    <xf numFmtId="0" fontId="28" fillId="9" borderId="36" xfId="0" applyFont="1" applyFill="1" applyBorder="1" applyAlignment="1">
      <alignment horizontal="right"/>
    </xf>
    <xf numFmtId="0" fontId="28" fillId="9" borderId="46" xfId="0" applyFont="1" applyFill="1" applyBorder="1" applyAlignment="1">
      <alignment horizontal="right"/>
    </xf>
    <xf numFmtId="0" fontId="28" fillId="9" borderId="7" xfId="0" applyFont="1" applyFill="1" applyBorder="1" applyAlignment="1">
      <alignment horizontal="right"/>
    </xf>
    <xf numFmtId="0" fontId="28" fillId="9" borderId="39" xfId="0" applyFont="1" applyFill="1" applyBorder="1" applyAlignment="1">
      <alignment horizontal="right"/>
    </xf>
    <xf numFmtId="0" fontId="28" fillId="9" borderId="47" xfId="0" applyFont="1" applyFill="1" applyBorder="1" applyAlignment="1">
      <alignment horizontal="right"/>
    </xf>
    <xf numFmtId="0" fontId="28" fillId="9" borderId="38" xfId="0" applyFont="1" applyFill="1" applyBorder="1" applyAlignment="1">
      <alignment horizontal="right"/>
    </xf>
    <xf numFmtId="0" fontId="28" fillId="0" borderId="50" xfId="0" applyFont="1" applyBorder="1"/>
    <xf numFmtId="0" fontId="30" fillId="0" borderId="23" xfId="0" applyFont="1" applyBorder="1"/>
    <xf numFmtId="0" fontId="30" fillId="0" borderId="23" xfId="0" applyFont="1" applyBorder="1" applyAlignment="1">
      <alignment vertical="center" wrapText="1"/>
    </xf>
    <xf numFmtId="0" fontId="50" fillId="0" borderId="23" xfId="0" applyFont="1" applyBorder="1"/>
    <xf numFmtId="0" fontId="30" fillId="0" borderId="48" xfId="0" applyFont="1" applyBorder="1" applyAlignment="1">
      <alignment horizontal="right" vertical="center" wrapText="1"/>
    </xf>
    <xf numFmtId="0" fontId="30" fillId="0" borderId="48" xfId="0" applyFont="1" applyBorder="1" applyAlignment="1">
      <alignment horizontal="right" vertical="center"/>
    </xf>
    <xf numFmtId="0" fontId="30" fillId="0" borderId="24" xfId="0" applyFont="1" applyBorder="1" applyAlignment="1">
      <alignment horizontal="right" vertical="center"/>
    </xf>
    <xf numFmtId="0" fontId="30" fillId="0" borderId="23" xfId="0" applyFont="1" applyBorder="1" applyAlignment="1">
      <alignment horizontal="left" vertical="center"/>
    </xf>
    <xf numFmtId="0" fontId="38" fillId="0" borderId="48" xfId="0" applyFont="1" applyBorder="1" applyAlignment="1">
      <alignment horizontal="right" vertical="center"/>
    </xf>
    <xf numFmtId="0" fontId="62" fillId="0" borderId="48" xfId="0" applyFont="1" applyBorder="1" applyAlignment="1">
      <alignment horizontal="right" vertical="center"/>
    </xf>
    <xf numFmtId="0" fontId="28" fillId="2" borderId="7" xfId="0" applyFont="1" applyFill="1" applyBorder="1" applyAlignment="1">
      <alignment horizontal="right"/>
    </xf>
    <xf numFmtId="0" fontId="28" fillId="7" borderId="13" xfId="0" applyFont="1" applyFill="1" applyBorder="1" applyAlignment="1">
      <alignment horizontal="right"/>
    </xf>
    <xf numFmtId="0" fontId="28" fillId="7" borderId="7" xfId="0" applyFont="1" applyFill="1" applyBorder="1" applyAlignment="1">
      <alignment horizontal="right"/>
    </xf>
    <xf numFmtId="0" fontId="28" fillId="7" borderId="10" xfId="0" applyFont="1" applyFill="1" applyBorder="1" applyAlignment="1">
      <alignment horizontal="right"/>
    </xf>
    <xf numFmtId="0" fontId="30" fillId="7" borderId="9" xfId="0" applyFont="1" applyFill="1" applyBorder="1" applyAlignment="1">
      <alignment horizontal="right"/>
    </xf>
    <xf numFmtId="0" fontId="28" fillId="7" borderId="13" xfId="0" applyFont="1" applyFill="1" applyBorder="1" applyAlignment="1">
      <alignment horizontal="right" vertical="center"/>
    </xf>
    <xf numFmtId="0" fontId="28" fillId="2" borderId="8" xfId="0" applyFont="1" applyFill="1" applyBorder="1" applyAlignment="1">
      <alignment horizontal="right"/>
    </xf>
    <xf numFmtId="0" fontId="28" fillId="2" borderId="9" xfId="0" applyFont="1" applyFill="1" applyBorder="1" applyAlignment="1">
      <alignment horizontal="left"/>
    </xf>
    <xf numFmtId="0" fontId="80" fillId="9" borderId="26" xfId="0" applyFont="1" applyFill="1" applyBorder="1" applyAlignment="1">
      <alignment horizontal="right" vertical="center"/>
    </xf>
    <xf numFmtId="165" fontId="80" fillId="9" borderId="0" xfId="0" applyNumberFormat="1" applyFont="1" applyFill="1" applyAlignment="1">
      <alignment horizontal="right" vertical="center"/>
    </xf>
    <xf numFmtId="0" fontId="80" fillId="9" borderId="27" xfId="0" applyFont="1" applyFill="1" applyBorder="1" applyAlignment="1">
      <alignment horizontal="right" vertical="center"/>
    </xf>
    <xf numFmtId="165" fontId="29" fillId="9" borderId="26" xfId="0" applyNumberFormat="1" applyFont="1" applyFill="1" applyBorder="1" applyAlignment="1">
      <alignment horizontal="right"/>
    </xf>
    <xf numFmtId="165" fontId="29" fillId="9" borderId="0" xfId="0" applyNumberFormat="1" applyFont="1" applyFill="1" applyAlignment="1">
      <alignment horizontal="right"/>
    </xf>
    <xf numFmtId="165" fontId="80" fillId="9" borderId="27" xfId="0" applyNumberFormat="1" applyFont="1" applyFill="1" applyBorder="1" applyAlignment="1">
      <alignment horizontal="right" vertical="center"/>
    </xf>
    <xf numFmtId="165" fontId="80" fillId="9" borderId="26" xfId="0" applyNumberFormat="1" applyFont="1" applyFill="1" applyBorder="1" applyAlignment="1">
      <alignment horizontal="right" vertical="center"/>
    </xf>
    <xf numFmtId="165" fontId="80" fillId="9" borderId="44" xfId="0" applyNumberFormat="1" applyFont="1" applyFill="1" applyBorder="1" applyAlignment="1">
      <alignment horizontal="right" vertical="center"/>
    </xf>
    <xf numFmtId="165" fontId="80" fillId="9" borderId="29" xfId="0" applyNumberFormat="1" applyFont="1" applyFill="1" applyBorder="1" applyAlignment="1">
      <alignment horizontal="right" vertical="center"/>
    </xf>
    <xf numFmtId="165" fontId="80" fillId="9" borderId="40" xfId="0" applyNumberFormat="1" applyFont="1" applyFill="1" applyBorder="1" applyAlignment="1">
      <alignment horizontal="right" vertical="center"/>
    </xf>
    <xf numFmtId="165" fontId="29" fillId="9" borderId="44" xfId="0" applyNumberFormat="1" applyFont="1" applyFill="1" applyBorder="1" applyAlignment="1">
      <alignment horizontal="right"/>
    </xf>
    <xf numFmtId="165" fontId="29" fillId="9" borderId="29" xfId="0" applyNumberFormat="1" applyFont="1" applyFill="1" applyBorder="1" applyAlignment="1">
      <alignment horizontal="right"/>
    </xf>
    <xf numFmtId="165" fontId="80" fillId="7" borderId="26" xfId="0" applyNumberFormat="1" applyFont="1" applyFill="1" applyBorder="1" applyAlignment="1">
      <alignment horizontal="right" vertical="center"/>
    </xf>
    <xf numFmtId="165" fontId="80" fillId="7" borderId="0" xfId="0" applyNumberFormat="1" applyFont="1" applyFill="1" applyAlignment="1">
      <alignment horizontal="right" vertical="center"/>
    </xf>
    <xf numFmtId="165" fontId="80" fillId="7" borderId="27" xfId="0" applyNumberFormat="1" applyFont="1" applyFill="1" applyBorder="1" applyAlignment="1">
      <alignment horizontal="right" vertical="center"/>
    </xf>
    <xf numFmtId="165" fontId="29" fillId="7" borderId="26" xfId="0" applyNumberFormat="1" applyFont="1" applyFill="1" applyBorder="1" applyAlignment="1">
      <alignment horizontal="right"/>
    </xf>
    <xf numFmtId="165" fontId="29" fillId="7" borderId="0" xfId="0" applyNumberFormat="1" applyFont="1" applyFill="1" applyAlignment="1">
      <alignment horizontal="right"/>
    </xf>
    <xf numFmtId="0" fontId="28" fillId="9" borderId="2" xfId="0" applyFont="1" applyFill="1" applyBorder="1" applyAlignment="1">
      <alignment horizontal="right"/>
    </xf>
    <xf numFmtId="0" fontId="28" fillId="7" borderId="2" xfId="0" applyFont="1" applyFill="1" applyBorder="1" applyAlignment="1">
      <alignment horizontal="right"/>
    </xf>
    <xf numFmtId="0" fontId="30" fillId="7" borderId="3" xfId="0" applyFont="1" applyFill="1" applyBorder="1" applyAlignment="1">
      <alignment horizontal="right"/>
    </xf>
    <xf numFmtId="0" fontId="28" fillId="9" borderId="37" xfId="0" applyFont="1" applyFill="1" applyBorder="1" applyAlignment="1">
      <alignment horizontal="right"/>
    </xf>
    <xf numFmtId="0" fontId="28" fillId="7" borderId="1" xfId="0" applyFont="1" applyFill="1" applyBorder="1" applyAlignment="1">
      <alignment horizontal="right"/>
    </xf>
    <xf numFmtId="0" fontId="28" fillId="7" borderId="10" xfId="0" applyFont="1" applyFill="1" applyBorder="1" applyAlignment="1">
      <alignment horizontal="right" vertical="center"/>
    </xf>
    <xf numFmtId="0" fontId="33" fillId="2" borderId="1" xfId="0" applyFont="1" applyFill="1" applyBorder="1" applyAlignment="1">
      <alignment horizontal="left" vertical="center"/>
    </xf>
    <xf numFmtId="0" fontId="33" fillId="7" borderId="1" xfId="0" applyFont="1" applyFill="1" applyBorder="1" applyAlignment="1">
      <alignment horizontal="right" vertical="center"/>
    </xf>
    <xf numFmtId="164" fontId="33" fillId="7" borderId="1" xfId="0" applyNumberFormat="1" applyFont="1" applyFill="1" applyBorder="1" applyAlignment="1">
      <alignment horizontal="right" vertical="center"/>
    </xf>
    <xf numFmtId="164" fontId="37" fillId="7" borderId="1" xfId="0" applyNumberFormat="1" applyFont="1" applyFill="1" applyBorder="1" applyAlignment="1">
      <alignment horizontal="right" vertical="center"/>
    </xf>
    <xf numFmtId="164" fontId="60" fillId="7" borderId="1" xfId="0" applyNumberFormat="1" applyFont="1" applyFill="1" applyBorder="1" applyAlignment="1">
      <alignment horizontal="right" vertical="center"/>
    </xf>
    <xf numFmtId="0" fontId="49" fillId="2" borderId="0" xfId="0" applyFont="1" applyFill="1" applyAlignment="1">
      <alignment horizontal="left"/>
    </xf>
    <xf numFmtId="165" fontId="29" fillId="7" borderId="27" xfId="0" applyNumberFormat="1" applyFont="1" applyFill="1" applyBorder="1" applyAlignment="1">
      <alignment horizontal="right"/>
    </xf>
    <xf numFmtId="165" fontId="29" fillId="9" borderId="15" xfId="5" applyNumberFormat="1" applyFont="1" applyFill="1" applyBorder="1" applyAlignment="1">
      <alignment horizontal="right"/>
    </xf>
    <xf numFmtId="165" fontId="79" fillId="9" borderId="0" xfId="9" applyNumberFormat="1" applyFont="1" applyFill="1" applyAlignment="1">
      <alignment horizontal="right"/>
    </xf>
    <xf numFmtId="165" fontId="29" fillId="9" borderId="0" xfId="5" applyNumberFormat="1" applyFont="1" applyFill="1" applyAlignment="1">
      <alignment horizontal="right"/>
    </xf>
    <xf numFmtId="165" fontId="29" fillId="9" borderId="35" xfId="5" applyNumberFormat="1" applyFont="1" applyFill="1" applyBorder="1" applyAlignment="1">
      <alignment horizontal="right"/>
    </xf>
    <xf numFmtId="165" fontId="79" fillId="9" borderId="29" xfId="9" applyNumberFormat="1" applyFont="1" applyFill="1" applyBorder="1" applyAlignment="1">
      <alignment horizontal="right"/>
    </xf>
    <xf numFmtId="165" fontId="29" fillId="9" borderId="29" xfId="5" applyNumberFormat="1" applyFont="1" applyFill="1" applyBorder="1" applyAlignment="1">
      <alignment horizontal="right"/>
    </xf>
    <xf numFmtId="165" fontId="29" fillId="7" borderId="15" xfId="5" applyNumberFormat="1" applyFont="1" applyFill="1" applyBorder="1" applyAlignment="1">
      <alignment horizontal="right"/>
    </xf>
    <xf numFmtId="165" fontId="79" fillId="7" borderId="0" xfId="9" applyNumberFormat="1" applyFont="1" applyFill="1" applyAlignment="1">
      <alignment horizontal="right"/>
    </xf>
    <xf numFmtId="165" fontId="29" fillId="7" borderId="0" xfId="5" applyNumberFormat="1" applyFont="1" applyFill="1" applyAlignment="1">
      <alignment horizontal="right"/>
    </xf>
    <xf numFmtId="0" fontId="22" fillId="0" borderId="0" xfId="0" applyFont="1" applyAlignment="1">
      <alignment horizontal="center" vertical="center"/>
    </xf>
    <xf numFmtId="0" fontId="30" fillId="0" borderId="23" xfId="0" applyFont="1" applyBorder="1" applyAlignment="1">
      <alignment horizontal="right" vertical="center" wrapText="1"/>
    </xf>
    <xf numFmtId="0" fontId="28" fillId="7" borderId="14" xfId="0" applyFont="1" applyFill="1" applyBorder="1" applyAlignment="1">
      <alignment horizontal="right"/>
    </xf>
    <xf numFmtId="0" fontId="51" fillId="7" borderId="0" xfId="0" applyFont="1" applyFill="1" applyAlignment="1">
      <alignment horizontal="right"/>
    </xf>
    <xf numFmtId="0" fontId="28" fillId="7" borderId="16" xfId="0" applyFont="1" applyFill="1" applyBorder="1" applyAlignment="1">
      <alignment horizontal="right"/>
    </xf>
    <xf numFmtId="0" fontId="30" fillId="7" borderId="18" xfId="0" applyFont="1" applyFill="1" applyBorder="1" applyAlignment="1">
      <alignment horizontal="right"/>
    </xf>
    <xf numFmtId="0" fontId="30" fillId="7" borderId="29" xfId="0" applyFont="1" applyFill="1" applyBorder="1" applyAlignment="1">
      <alignment horizontal="right"/>
    </xf>
    <xf numFmtId="0" fontId="30" fillId="7" borderId="19" xfId="0" applyFont="1" applyFill="1" applyBorder="1" applyAlignment="1">
      <alignment horizontal="right"/>
    </xf>
    <xf numFmtId="0" fontId="28" fillId="2" borderId="15" xfId="0" applyFont="1" applyFill="1" applyBorder="1" applyAlignment="1">
      <alignment horizontal="left"/>
    </xf>
    <xf numFmtId="0" fontId="30" fillId="2" borderId="15" xfId="0" applyFont="1" applyFill="1" applyBorder="1" applyAlignment="1">
      <alignment horizontal="left"/>
    </xf>
    <xf numFmtId="9" fontId="28" fillId="0" borderId="0" xfId="133" applyFont="1"/>
    <xf numFmtId="0" fontId="45" fillId="2" borderId="0" xfId="1" applyFont="1" applyFill="1" applyAlignment="1" applyProtection="1">
      <alignment horizontal="left" vertical="center"/>
    </xf>
    <xf numFmtId="0" fontId="77" fillId="2" borderId="0" xfId="0" applyFont="1" applyFill="1" applyAlignment="1">
      <alignment wrapText="1"/>
    </xf>
    <xf numFmtId="0" fontId="82" fillId="2" borderId="0" xfId="0" applyFont="1" applyFill="1"/>
    <xf numFmtId="0" fontId="22" fillId="0" borderId="0" xfId="0" applyFont="1" applyAlignment="1">
      <alignment horizontal="right" wrapText="1"/>
    </xf>
    <xf numFmtId="0" fontId="15" fillId="0" borderId="0" xfId="0" applyFont="1" applyAlignment="1">
      <alignment horizontal="right" wrapText="1"/>
    </xf>
    <xf numFmtId="3" fontId="15" fillId="0" borderId="0" xfId="0" applyNumberFormat="1" applyFont="1" applyAlignment="1">
      <alignment horizontal="right" vertical="top"/>
    </xf>
    <xf numFmtId="3" fontId="8" fillId="0" borderId="0" xfId="0" applyNumberFormat="1" applyFont="1" applyAlignment="1">
      <alignment horizontal="center"/>
    </xf>
    <xf numFmtId="165" fontId="8" fillId="0" borderId="0" xfId="0" applyNumberFormat="1" applyFont="1" applyAlignment="1">
      <alignment horizontal="right"/>
    </xf>
    <xf numFmtId="0" fontId="8" fillId="2" borderId="0" xfId="0" applyFont="1" applyFill="1"/>
    <xf numFmtId="167" fontId="8" fillId="2" borderId="0" xfId="133" applyNumberFormat="1" applyFont="1" applyFill="1" applyAlignment="1">
      <alignment horizontal="center"/>
    </xf>
    <xf numFmtId="0" fontId="8" fillId="2" borderId="0" xfId="0" applyFont="1" applyFill="1" applyAlignment="1">
      <alignment horizontal="center"/>
    </xf>
    <xf numFmtId="0" fontId="85" fillId="0" borderId="0" xfId="0" applyFont="1"/>
    <xf numFmtId="0" fontId="35" fillId="0" borderId="0" xfId="0" applyFont="1"/>
    <xf numFmtId="0" fontId="35" fillId="0" borderId="0" xfId="0" applyFont="1" applyAlignment="1">
      <alignment wrapText="1"/>
    </xf>
    <xf numFmtId="0" fontId="34" fillId="0" borderId="0" xfId="0" applyFont="1"/>
    <xf numFmtId="0" fontId="28" fillId="2" borderId="0" xfId="1" applyFont="1" applyFill="1" applyAlignment="1" applyProtection="1">
      <alignment horizontal="left" vertical="center"/>
    </xf>
    <xf numFmtId="0" fontId="45" fillId="2" borderId="0" xfId="1" applyFont="1" applyFill="1" applyBorder="1" applyAlignment="1" applyProtection="1">
      <alignment horizontal="left" vertical="center"/>
    </xf>
    <xf numFmtId="0" fontId="28" fillId="2" borderId="0" xfId="0" applyFont="1" applyFill="1" applyAlignment="1">
      <alignment horizontal="left" vertical="center"/>
    </xf>
    <xf numFmtId="0" fontId="28" fillId="2" borderId="0" xfId="0" applyFont="1" applyFill="1" applyAlignment="1">
      <alignment vertical="center" wrapText="1"/>
    </xf>
    <xf numFmtId="0" fontId="67" fillId="2" borderId="0" xfId="1" applyFont="1" applyFill="1" applyBorder="1" applyAlignment="1" applyProtection="1">
      <alignment horizontal="left" vertical="center"/>
    </xf>
    <xf numFmtId="0" fontId="86" fillId="2" borderId="0" xfId="0" applyFont="1" applyFill="1" applyAlignment="1">
      <alignment vertical="center" wrapText="1"/>
    </xf>
    <xf numFmtId="0" fontId="86" fillId="2" borderId="0" xfId="0" applyFont="1" applyFill="1" applyAlignment="1">
      <alignment horizontal="left" vertical="center"/>
    </xf>
    <xf numFmtId="0" fontId="28" fillId="7" borderId="29" xfId="0" applyFont="1" applyFill="1" applyBorder="1" applyAlignment="1">
      <alignment horizontal="right"/>
    </xf>
    <xf numFmtId="0" fontId="83" fillId="0" borderId="0" xfId="0" applyFont="1" applyAlignment="1">
      <alignment wrapText="1"/>
    </xf>
    <xf numFmtId="0" fontId="84" fillId="0" borderId="0" xfId="0" applyFont="1"/>
    <xf numFmtId="0" fontId="89" fillId="2" borderId="0" xfId="15" applyFont="1" applyFill="1" applyBorder="1" applyAlignment="1"/>
    <xf numFmtId="0" fontId="90" fillId="2" borderId="0" xfId="5" applyFont="1" applyFill="1"/>
    <xf numFmtId="0" fontId="34" fillId="2" borderId="0" xfId="9" applyFont="1" applyFill="1"/>
    <xf numFmtId="0" fontId="28" fillId="11" borderId="46" xfId="0" applyFont="1" applyFill="1" applyBorder="1" applyAlignment="1">
      <alignment horizontal="right" vertical="top"/>
    </xf>
    <xf numFmtId="0" fontId="28" fillId="11" borderId="36" xfId="0" applyFont="1" applyFill="1" applyBorder="1" applyAlignment="1">
      <alignment horizontal="right"/>
    </xf>
    <xf numFmtId="0" fontId="28" fillId="11" borderId="46" xfId="0" applyFont="1" applyFill="1" applyBorder="1" applyAlignment="1">
      <alignment horizontal="right"/>
    </xf>
    <xf numFmtId="165" fontId="28" fillId="11" borderId="0" xfId="0" applyNumberFormat="1" applyFont="1" applyFill="1" applyAlignment="1">
      <alignment horizontal="right" vertical="top"/>
    </xf>
    <xf numFmtId="0" fontId="30" fillId="2" borderId="0" xfId="0" applyFont="1" applyFill="1"/>
    <xf numFmtId="0" fontId="28" fillId="2" borderId="1" xfId="0" applyFont="1" applyFill="1" applyBorder="1"/>
    <xf numFmtId="0" fontId="28" fillId="7" borderId="59" xfId="0" applyFont="1" applyFill="1" applyBorder="1" applyAlignment="1">
      <alignment horizontal="right"/>
    </xf>
    <xf numFmtId="0" fontId="51" fillId="7" borderId="1" xfId="0" applyFont="1" applyFill="1" applyBorder="1" applyAlignment="1">
      <alignment horizontal="right"/>
    </xf>
    <xf numFmtId="0" fontId="28" fillId="7" borderId="56" xfId="0" applyFont="1" applyFill="1" applyBorder="1" applyAlignment="1">
      <alignment horizontal="right"/>
    </xf>
    <xf numFmtId="0" fontId="30" fillId="0" borderId="51" xfId="0" applyFont="1" applyBorder="1" applyAlignment="1">
      <alignment horizontal="right" vertical="center"/>
    </xf>
    <xf numFmtId="0" fontId="33" fillId="7" borderId="2" xfId="0" applyFont="1" applyFill="1" applyBorder="1" applyAlignment="1">
      <alignment horizontal="right" vertical="center"/>
    </xf>
    <xf numFmtId="0" fontId="33" fillId="7" borderId="35" xfId="0" applyFont="1" applyFill="1" applyBorder="1" applyAlignment="1">
      <alignment horizontal="right" vertical="center"/>
    </xf>
    <xf numFmtId="0" fontId="30" fillId="0" borderId="51" xfId="0" applyFont="1" applyBorder="1" applyAlignment="1">
      <alignment horizontal="right" vertical="center" wrapText="1"/>
    </xf>
    <xf numFmtId="0" fontId="28" fillId="7" borderId="15" xfId="0" applyFont="1" applyFill="1" applyBorder="1" applyAlignment="1">
      <alignment horizontal="right" vertical="center"/>
    </xf>
    <xf numFmtId="0" fontId="30" fillId="7" borderId="15" xfId="0" applyFont="1" applyFill="1" applyBorder="1" applyAlignment="1">
      <alignment horizontal="right" vertical="center"/>
    </xf>
    <xf numFmtId="0" fontId="28" fillId="2" borderId="2" xfId="0" applyFont="1" applyFill="1" applyBorder="1" applyAlignment="1">
      <alignment horizontal="left"/>
    </xf>
    <xf numFmtId="0" fontId="28" fillId="12" borderId="57" xfId="0" applyFont="1" applyFill="1" applyBorder="1" applyAlignment="1">
      <alignment horizontal="right" vertical="top"/>
    </xf>
    <xf numFmtId="0" fontId="28" fillId="12" borderId="7" xfId="0" applyFont="1" applyFill="1" applyBorder="1" applyAlignment="1">
      <alignment horizontal="right" vertical="top"/>
    </xf>
    <xf numFmtId="0" fontId="28" fillId="12" borderId="43" xfId="0" applyFont="1" applyFill="1" applyBorder="1" applyAlignment="1">
      <alignment horizontal="right"/>
    </xf>
    <xf numFmtId="0" fontId="28" fillId="12" borderId="45" xfId="0" applyFont="1" applyFill="1" applyBorder="1" applyAlignment="1">
      <alignment horizontal="right"/>
    </xf>
    <xf numFmtId="0" fontId="28" fillId="12" borderId="36" xfId="0" applyFont="1" applyFill="1" applyBorder="1" applyAlignment="1">
      <alignment horizontal="right"/>
    </xf>
    <xf numFmtId="0" fontId="28" fillId="12" borderId="46" xfId="0" applyFont="1" applyFill="1" applyBorder="1" applyAlignment="1">
      <alignment horizontal="right"/>
    </xf>
    <xf numFmtId="165" fontId="29" fillId="12" borderId="26" xfId="0" applyNumberFormat="1" applyFont="1" applyFill="1" applyBorder="1" applyAlignment="1">
      <alignment horizontal="right"/>
    </xf>
    <xf numFmtId="165" fontId="29" fillId="12" borderId="0" xfId="0" applyNumberFormat="1" applyFont="1" applyFill="1" applyAlignment="1">
      <alignment horizontal="right"/>
    </xf>
    <xf numFmtId="0" fontId="30" fillId="2" borderId="23" xfId="0" applyFont="1" applyFill="1" applyBorder="1"/>
    <xf numFmtId="0" fontId="28" fillId="0" borderId="35" xfId="0" applyFont="1" applyBorder="1"/>
    <xf numFmtId="0" fontId="30" fillId="2" borderId="7" xfId="5" applyFont="1" applyFill="1" applyBorder="1" applyAlignment="1">
      <alignment horizontal="left" wrapText="1"/>
    </xf>
    <xf numFmtId="0" fontId="30" fillId="0" borderId="7" xfId="5" applyFont="1" applyBorder="1" applyAlignment="1">
      <alignment horizontal="left" wrapText="1"/>
    </xf>
    <xf numFmtId="0" fontId="49" fillId="2" borderId="28" xfId="0" applyFont="1" applyFill="1" applyBorder="1" applyAlignment="1">
      <alignment horizontal="left"/>
    </xf>
    <xf numFmtId="0" fontId="30" fillId="10" borderId="0" xfId="0" applyFont="1" applyFill="1" applyAlignment="1">
      <alignment horizontal="left"/>
    </xf>
    <xf numFmtId="0" fontId="30" fillId="10" borderId="29" xfId="0" applyFont="1" applyFill="1" applyBorder="1" applyAlignment="1">
      <alignment horizontal="left"/>
    </xf>
    <xf numFmtId="0" fontId="30" fillId="2" borderId="0" xfId="0" applyFont="1" applyFill="1" applyAlignment="1">
      <alignment horizontal="left"/>
    </xf>
    <xf numFmtId="0" fontId="32" fillId="2" borderId="0" xfId="14" applyFont="1" applyFill="1" applyAlignment="1">
      <alignment horizontal="left" wrapText="1"/>
    </xf>
    <xf numFmtId="164" fontId="33" fillId="2" borderId="15" xfId="0" applyNumberFormat="1" applyFont="1" applyFill="1" applyBorder="1" applyAlignment="1">
      <alignment horizontal="right"/>
    </xf>
    <xf numFmtId="164" fontId="33" fillId="2" borderId="35" xfId="0" applyNumberFormat="1" applyFont="1" applyFill="1" applyBorder="1" applyAlignment="1">
      <alignment horizontal="right"/>
    </xf>
    <xf numFmtId="0" fontId="28" fillId="9" borderId="18" xfId="0" applyFont="1" applyFill="1" applyBorder="1" applyAlignment="1">
      <alignment horizontal="right" vertical="top"/>
    </xf>
    <xf numFmtId="165" fontId="28" fillId="9" borderId="34" xfId="0" applyNumberFormat="1" applyFont="1" applyFill="1" applyBorder="1" applyAlignment="1">
      <alignment horizontal="right" vertical="top"/>
    </xf>
    <xf numFmtId="0" fontId="30" fillId="10" borderId="7" xfId="5" applyFont="1" applyFill="1" applyBorder="1" applyAlignment="1">
      <alignment horizontal="left" wrapText="1"/>
    </xf>
    <xf numFmtId="0" fontId="30" fillId="10" borderId="38" xfId="5" applyFont="1" applyFill="1" applyBorder="1" applyAlignment="1">
      <alignment horizontal="left" wrapText="1"/>
    </xf>
    <xf numFmtId="0" fontId="30" fillId="2" borderId="58" xfId="0" applyFont="1" applyFill="1" applyBorder="1" applyAlignment="1">
      <alignment horizontal="left"/>
    </xf>
    <xf numFmtId="0" fontId="30" fillId="2" borderId="17" xfId="0" applyFont="1" applyFill="1" applyBorder="1" applyAlignment="1">
      <alignment horizontal="left"/>
    </xf>
    <xf numFmtId="0" fontId="92" fillId="0" borderId="51" xfId="0" applyFont="1" applyBorder="1"/>
    <xf numFmtId="0" fontId="92" fillId="0" borderId="23" xfId="0" applyFont="1" applyBorder="1"/>
    <xf numFmtId="0" fontId="92" fillId="2" borderId="13" xfId="0" applyFont="1" applyFill="1" applyBorder="1" applyAlignment="1">
      <alignment horizontal="left"/>
    </xf>
    <xf numFmtId="0" fontId="92" fillId="2" borderId="7" xfId="0" applyFont="1" applyFill="1" applyBorder="1" applyAlignment="1">
      <alignment horizontal="right"/>
    </xf>
    <xf numFmtId="0" fontId="92" fillId="7" borderId="13" xfId="0" applyFont="1" applyFill="1" applyBorder="1" applyAlignment="1">
      <alignment horizontal="right"/>
    </xf>
    <xf numFmtId="0" fontId="50" fillId="2" borderId="13" xfId="0" applyFont="1" applyFill="1" applyBorder="1" applyAlignment="1">
      <alignment horizontal="left"/>
    </xf>
    <xf numFmtId="0" fontId="50" fillId="2" borderId="7" xfId="0" applyFont="1" applyFill="1" applyBorder="1" applyAlignment="1">
      <alignment horizontal="right"/>
    </xf>
    <xf numFmtId="0" fontId="50" fillId="7" borderId="13" xfId="0" applyFont="1" applyFill="1" applyBorder="1" applyAlignment="1">
      <alignment horizontal="right"/>
    </xf>
    <xf numFmtId="0" fontId="50" fillId="7" borderId="7" xfId="0" applyFont="1" applyFill="1" applyBorder="1" applyAlignment="1">
      <alignment horizontal="right" vertical="center"/>
    </xf>
    <xf numFmtId="0" fontId="50" fillId="7" borderId="7" xfId="0" applyFont="1" applyFill="1" applyBorder="1" applyAlignment="1">
      <alignment horizontal="right"/>
    </xf>
    <xf numFmtId="0" fontId="50" fillId="2" borderId="10" xfId="0" applyFont="1" applyFill="1" applyBorder="1" applyAlignment="1">
      <alignment horizontal="left"/>
    </xf>
    <xf numFmtId="0" fontId="50" fillId="2" borderId="10" xfId="0" applyFont="1" applyFill="1" applyBorder="1" applyAlignment="1">
      <alignment horizontal="right"/>
    </xf>
    <xf numFmtId="0" fontId="50" fillId="7" borderId="10" xfId="0" applyFont="1" applyFill="1" applyBorder="1" applyAlignment="1">
      <alignment horizontal="right"/>
    </xf>
    <xf numFmtId="0" fontId="50" fillId="7" borderId="8" xfId="0" applyFont="1" applyFill="1" applyBorder="1" applyAlignment="1">
      <alignment horizontal="right" vertical="center"/>
    </xf>
    <xf numFmtId="0" fontId="50" fillId="7" borderId="8" xfId="0" applyFont="1" applyFill="1" applyBorder="1" applyAlignment="1">
      <alignment horizontal="right"/>
    </xf>
    <xf numFmtId="0" fontId="92" fillId="2" borderId="9" xfId="0" applyFont="1" applyFill="1" applyBorder="1" applyAlignment="1">
      <alignment horizontal="left"/>
    </xf>
    <xf numFmtId="0" fontId="92" fillId="7" borderId="9" xfId="0" applyFont="1" applyFill="1" applyBorder="1" applyAlignment="1">
      <alignment horizontal="right"/>
    </xf>
    <xf numFmtId="0" fontId="92" fillId="7" borderId="6" xfId="0" applyFont="1" applyFill="1" applyBorder="1" applyAlignment="1">
      <alignment horizontal="right"/>
    </xf>
    <xf numFmtId="0" fontId="50" fillId="7" borderId="15" xfId="0" applyFont="1" applyFill="1" applyBorder="1" applyAlignment="1">
      <alignment horizontal="right"/>
    </xf>
    <xf numFmtId="0" fontId="50" fillId="7" borderId="13" xfId="0" applyFont="1" applyFill="1" applyBorder="1" applyAlignment="1">
      <alignment horizontal="right" vertical="center"/>
    </xf>
    <xf numFmtId="0" fontId="92" fillId="2" borderId="6" xfId="0" applyFont="1" applyFill="1" applyBorder="1" applyAlignment="1">
      <alignment horizontal="right"/>
    </xf>
    <xf numFmtId="0" fontId="92" fillId="7" borderId="6" xfId="0" applyFont="1" applyFill="1" applyBorder="1" applyAlignment="1">
      <alignment horizontal="right" vertical="center"/>
    </xf>
    <xf numFmtId="0" fontId="50" fillId="2" borderId="8" xfId="0" applyFont="1" applyFill="1" applyBorder="1" applyAlignment="1">
      <alignment horizontal="right"/>
    </xf>
    <xf numFmtId="0" fontId="92" fillId="7" borderId="7" xfId="0" applyFont="1" applyFill="1" applyBorder="1" applyAlignment="1">
      <alignment horizontal="right"/>
    </xf>
    <xf numFmtId="0" fontId="92" fillId="7" borderId="7" xfId="0" applyFont="1" applyFill="1" applyBorder="1" applyAlignment="1">
      <alignment horizontal="right" vertical="center"/>
    </xf>
    <xf numFmtId="0" fontId="50" fillId="2" borderId="9" xfId="0" applyFont="1" applyFill="1" applyBorder="1" applyAlignment="1">
      <alignment horizontal="left"/>
    </xf>
    <xf numFmtId="0" fontId="92" fillId="7" borderId="10" xfId="0" applyFont="1" applyFill="1" applyBorder="1" applyAlignment="1">
      <alignment horizontal="right"/>
    </xf>
    <xf numFmtId="0" fontId="50" fillId="2" borderId="13" xfId="0" applyFont="1" applyFill="1" applyBorder="1" applyAlignment="1">
      <alignment horizontal="right"/>
    </xf>
    <xf numFmtId="0" fontId="92" fillId="2" borderId="28" xfId="0" applyFont="1" applyFill="1" applyBorder="1" applyAlignment="1">
      <alignment horizontal="left"/>
    </xf>
    <xf numFmtId="0" fontId="30" fillId="2" borderId="28" xfId="0" applyFont="1" applyFill="1" applyBorder="1" applyAlignment="1">
      <alignment horizontal="left"/>
    </xf>
    <xf numFmtId="0" fontId="28" fillId="2" borderId="1" xfId="0" applyFont="1" applyFill="1" applyBorder="1" applyAlignment="1">
      <alignment vertical="center"/>
    </xf>
    <xf numFmtId="0" fontId="28" fillId="7" borderId="2" xfId="0" applyFont="1" applyFill="1" applyBorder="1" applyAlignment="1">
      <alignment horizontal="right" vertical="center"/>
    </xf>
    <xf numFmtId="0" fontId="28" fillId="7" borderId="1" xfId="0" applyFont="1" applyFill="1" applyBorder="1" applyAlignment="1">
      <alignment horizontal="right" vertical="center"/>
    </xf>
    <xf numFmtId="0" fontId="30" fillId="0" borderId="54" xfId="5" applyFont="1" applyBorder="1" applyAlignment="1">
      <alignment horizontal="left" wrapText="1"/>
    </xf>
    <xf numFmtId="0" fontId="30" fillId="0" borderId="54" xfId="5" applyFont="1" applyBorder="1" applyAlignment="1">
      <alignment horizontal="center" wrapText="1"/>
    </xf>
    <xf numFmtId="0" fontId="28" fillId="0" borderId="29" xfId="0" applyFont="1" applyBorder="1"/>
    <xf numFmtId="0" fontId="50" fillId="7" borderId="2" xfId="0" applyFont="1" applyFill="1" applyBorder="1" applyAlignment="1">
      <alignment horizontal="right"/>
    </xf>
    <xf numFmtId="0" fontId="50" fillId="7" borderId="10" xfId="0" applyFont="1" applyFill="1" applyBorder="1" applyAlignment="1">
      <alignment horizontal="right" vertical="center"/>
    </xf>
    <xf numFmtId="0" fontId="92" fillId="2" borderId="15" xfId="0" applyFont="1" applyFill="1" applyBorder="1" applyAlignment="1">
      <alignment horizontal="left"/>
    </xf>
    <xf numFmtId="0" fontId="92" fillId="2" borderId="9" xfId="0" applyFont="1" applyFill="1" applyBorder="1" applyAlignment="1">
      <alignment horizontal="right"/>
    </xf>
    <xf numFmtId="0" fontId="50" fillId="2" borderId="15" xfId="0" applyFont="1" applyFill="1" applyBorder="1" applyAlignment="1">
      <alignment horizontal="left"/>
    </xf>
    <xf numFmtId="0" fontId="50" fillId="0" borderId="48" xfId="0" applyFont="1" applyBorder="1" applyAlignment="1">
      <alignment horizontal="right"/>
    </xf>
    <xf numFmtId="0" fontId="50" fillId="0" borderId="50" xfId="0" applyFont="1" applyBorder="1"/>
    <xf numFmtId="0" fontId="92" fillId="7" borderId="28" xfId="0" applyFont="1" applyFill="1" applyBorder="1" applyAlignment="1">
      <alignment horizontal="right"/>
    </xf>
    <xf numFmtId="0" fontId="92" fillId="7" borderId="15" xfId="0" applyFont="1" applyFill="1" applyBorder="1" applyAlignment="1">
      <alignment horizontal="right"/>
    </xf>
    <xf numFmtId="0" fontId="80" fillId="2" borderId="13" xfId="0" applyFont="1" applyFill="1" applyBorder="1" applyAlignment="1">
      <alignment horizontal="left"/>
    </xf>
    <xf numFmtId="0" fontId="80" fillId="2" borderId="7" xfId="0" applyFont="1" applyFill="1" applyBorder="1" applyAlignment="1">
      <alignment horizontal="right"/>
    </xf>
    <xf numFmtId="0" fontId="80" fillId="7" borderId="15" xfId="0" applyFont="1" applyFill="1" applyBorder="1" applyAlignment="1">
      <alignment horizontal="right"/>
    </xf>
    <xf numFmtId="0" fontId="80" fillId="7" borderId="13" xfId="0" applyFont="1" applyFill="1" applyBorder="1" applyAlignment="1">
      <alignment horizontal="right"/>
    </xf>
    <xf numFmtId="0" fontId="30" fillId="2" borderId="52" xfId="0" applyFont="1" applyFill="1" applyBorder="1" applyAlignment="1">
      <alignment horizontal="right"/>
    </xf>
    <xf numFmtId="0" fontId="30" fillId="0" borderId="48" xfId="0" applyFont="1" applyBorder="1" applyAlignment="1">
      <alignment horizontal="right"/>
    </xf>
    <xf numFmtId="0" fontId="30" fillId="0" borderId="53" xfId="0" applyFont="1" applyBorder="1" applyAlignment="1">
      <alignment horizontal="right"/>
    </xf>
    <xf numFmtId="0" fontId="30" fillId="0" borderId="52" xfId="0" applyFont="1" applyBorder="1" applyAlignment="1">
      <alignment horizontal="right"/>
    </xf>
    <xf numFmtId="0" fontId="30" fillId="0" borderId="24" xfId="0" applyFont="1" applyBorder="1" applyAlignment="1">
      <alignment horizontal="right"/>
    </xf>
    <xf numFmtId="0" fontId="94" fillId="0" borderId="0" xfId="0" applyFont="1"/>
    <xf numFmtId="0" fontId="95" fillId="0" borderId="0" xfId="0" applyFont="1" applyAlignment="1">
      <alignment horizontal="left"/>
    </xf>
    <xf numFmtId="0" fontId="96" fillId="0" borderId="0" xfId="1" applyFont="1" applyBorder="1" applyAlignment="1" applyProtection="1"/>
    <xf numFmtId="0" fontId="97" fillId="0" borderId="0" xfId="0" applyFont="1"/>
    <xf numFmtId="0" fontId="98" fillId="0" borderId="0" xfId="0" applyFont="1"/>
    <xf numFmtId="0" fontId="99" fillId="0" borderId="0" xfId="0" applyFont="1"/>
    <xf numFmtId="0" fontId="100" fillId="0" borderId="0" xfId="0" applyFont="1" applyAlignment="1">
      <alignment horizontal="left"/>
    </xf>
    <xf numFmtId="0" fontId="96" fillId="0" borderId="0" xfId="1" applyFont="1" applyAlignment="1" applyProtection="1"/>
    <xf numFmtId="0" fontId="28" fillId="11" borderId="15" xfId="0" applyFont="1" applyFill="1" applyBorder="1" applyAlignment="1">
      <alignment horizontal="right"/>
    </xf>
    <xf numFmtId="0" fontId="28" fillId="9" borderId="29" xfId="0" applyFont="1" applyFill="1" applyBorder="1" applyAlignment="1">
      <alignment horizontal="right"/>
    </xf>
    <xf numFmtId="0" fontId="28" fillId="12" borderId="60" xfId="0" applyFont="1" applyFill="1" applyBorder="1" applyAlignment="1">
      <alignment horizontal="right"/>
    </xf>
    <xf numFmtId="0" fontId="28" fillId="12" borderId="15" xfId="0" applyFont="1" applyFill="1" applyBorder="1" applyAlignment="1">
      <alignment horizontal="right"/>
    </xf>
    <xf numFmtId="0" fontId="28" fillId="12" borderId="57" xfId="0" applyFont="1" applyFill="1" applyBorder="1" applyAlignment="1">
      <alignment horizontal="right"/>
    </xf>
    <xf numFmtId="0" fontId="28" fillId="12" borderId="7" xfId="0" applyFont="1" applyFill="1" applyBorder="1" applyAlignment="1">
      <alignment horizontal="right"/>
    </xf>
    <xf numFmtId="0" fontId="28" fillId="2" borderId="0" xfId="2" applyFont="1" applyFill="1" applyBorder="1" applyAlignment="1" applyProtection="1"/>
    <xf numFmtId="0" fontId="5" fillId="2" borderId="0" xfId="0" applyFont="1" applyFill="1" applyAlignment="1">
      <alignment horizontal="center"/>
    </xf>
    <xf numFmtId="0" fontId="91" fillId="2" borderId="0" xfId="0" applyFont="1" applyFill="1" applyAlignment="1">
      <alignment horizontal="center" vertical="center" wrapText="1"/>
    </xf>
    <xf numFmtId="0" fontId="49" fillId="2" borderId="0" xfId="0" applyFont="1" applyFill="1" applyAlignment="1">
      <alignment horizontal="center"/>
    </xf>
    <xf numFmtId="0" fontId="28" fillId="0" borderId="54" xfId="0" applyFont="1" applyBorder="1" applyAlignment="1">
      <alignment horizontal="right"/>
    </xf>
    <xf numFmtId="0" fontId="28" fillId="0" borderId="50" xfId="0" applyFont="1" applyBorder="1" applyAlignment="1">
      <alignment horizontal="right"/>
    </xf>
    <xf numFmtId="0" fontId="28" fillId="0" borderId="49" xfId="0" applyFont="1" applyBorder="1" applyAlignment="1">
      <alignment horizontal="right"/>
    </xf>
    <xf numFmtId="0" fontId="30" fillId="7" borderId="14" xfId="0" applyFont="1" applyFill="1" applyBorder="1" applyAlignment="1">
      <alignment horizontal="right"/>
    </xf>
    <xf numFmtId="0" fontId="30" fillId="7" borderId="36" xfId="0" applyFont="1" applyFill="1" applyBorder="1" applyAlignment="1">
      <alignment horizontal="right"/>
    </xf>
    <xf numFmtId="0" fontId="28" fillId="7" borderId="36" xfId="0" applyFont="1" applyFill="1" applyBorder="1" applyAlignment="1">
      <alignment horizontal="right"/>
    </xf>
    <xf numFmtId="0" fontId="28" fillId="7" borderId="37" xfId="0" applyFont="1" applyFill="1" applyBorder="1" applyAlignment="1">
      <alignment horizontal="right"/>
    </xf>
    <xf numFmtId="0" fontId="28" fillId="7" borderId="18" xfId="0" applyFont="1" applyFill="1" applyBorder="1" applyAlignment="1">
      <alignment horizontal="right"/>
    </xf>
    <xf numFmtId="0" fontId="28" fillId="7" borderId="35" xfId="0" applyFont="1" applyFill="1" applyBorder="1" applyAlignment="1">
      <alignment horizontal="right"/>
    </xf>
    <xf numFmtId="0" fontId="28" fillId="7" borderId="34" xfId="0" applyFont="1" applyFill="1" applyBorder="1" applyAlignment="1">
      <alignment horizontal="right"/>
    </xf>
    <xf numFmtId="0" fontId="28" fillId="7" borderId="34" xfId="0" applyFont="1" applyFill="1" applyBorder="1" applyAlignment="1">
      <alignment horizontal="right" vertical="center"/>
    </xf>
    <xf numFmtId="0" fontId="28" fillId="7" borderId="39" xfId="0" applyFont="1" applyFill="1" applyBorder="1" applyAlignment="1">
      <alignment horizontal="right"/>
    </xf>
    <xf numFmtId="0" fontId="28" fillId="9" borderId="54" xfId="0" applyFont="1" applyFill="1" applyBorder="1" applyAlignment="1">
      <alignment horizontal="right"/>
    </xf>
    <xf numFmtId="0" fontId="28" fillId="9" borderId="50" xfId="0" applyFont="1" applyFill="1" applyBorder="1" applyAlignment="1">
      <alignment horizontal="right"/>
    </xf>
    <xf numFmtId="0" fontId="28" fillId="9" borderId="49" xfId="0" applyFont="1" applyFill="1" applyBorder="1" applyAlignment="1">
      <alignment horizontal="right"/>
    </xf>
    <xf numFmtId="0" fontId="30" fillId="9" borderId="14" xfId="0" applyFont="1" applyFill="1" applyBorder="1" applyAlignment="1">
      <alignment horizontal="right"/>
    </xf>
    <xf numFmtId="0" fontId="28" fillId="9" borderId="14" xfId="0" applyFont="1" applyFill="1" applyBorder="1" applyAlignment="1">
      <alignment horizontal="right"/>
    </xf>
    <xf numFmtId="0" fontId="28" fillId="9" borderId="59" xfId="0" applyFont="1" applyFill="1" applyBorder="1" applyAlignment="1">
      <alignment horizontal="right"/>
    </xf>
    <xf numFmtId="0" fontId="28" fillId="9" borderId="18" xfId="0" applyFont="1" applyFill="1" applyBorder="1" applyAlignment="1">
      <alignment horizontal="right"/>
    </xf>
    <xf numFmtId="0" fontId="45" fillId="2" borderId="0" xfId="1" applyFont="1" applyFill="1" applyBorder="1" applyAlignment="1" applyProtection="1"/>
    <xf numFmtId="0" fontId="9" fillId="2" borderId="0" xfId="0" applyFont="1" applyFill="1"/>
    <xf numFmtId="0" fontId="27" fillId="2" borderId="0" xfId="0" applyFont="1" applyFill="1"/>
    <xf numFmtId="0" fontId="14" fillId="0" borderId="0" xfId="15" applyBorder="1" applyAlignment="1">
      <alignment vertical="top"/>
    </xf>
    <xf numFmtId="0" fontId="0" fillId="0" borderId="0" xfId="0" applyAlignment="1">
      <alignment vertical="top"/>
    </xf>
    <xf numFmtId="165" fontId="28" fillId="2" borderId="61" xfId="0" applyNumberFormat="1" applyFont="1" applyFill="1" applyBorder="1" applyAlignment="1">
      <alignment horizontal="right"/>
    </xf>
    <xf numFmtId="0" fontId="77" fillId="0" borderId="30" xfId="0" applyFont="1" applyBorder="1" applyAlignment="1">
      <alignment vertical="top"/>
    </xf>
    <xf numFmtId="0" fontId="77" fillId="0" borderId="63" xfId="0" applyFont="1" applyBorder="1" applyAlignment="1">
      <alignment vertical="top" wrapText="1"/>
    </xf>
    <xf numFmtId="0" fontId="50" fillId="0" borderId="0" xfId="0" applyFont="1" applyAlignment="1">
      <alignment vertical="top"/>
    </xf>
    <xf numFmtId="0" fontId="77" fillId="0" borderId="31" xfId="0" applyFont="1" applyBorder="1" applyAlignment="1">
      <alignment vertical="top"/>
    </xf>
    <xf numFmtId="0" fontId="77" fillId="0" borderId="32" xfId="0" applyFont="1" applyBorder="1" applyAlignment="1">
      <alignment vertical="top" wrapText="1"/>
    </xf>
    <xf numFmtId="0" fontId="77" fillId="0" borderId="32" xfId="0" applyFont="1" applyBorder="1" applyAlignment="1">
      <alignment wrapText="1"/>
    </xf>
    <xf numFmtId="0" fontId="50" fillId="0" borderId="0" xfId="0" applyFont="1"/>
    <xf numFmtId="0" fontId="77" fillId="2" borderId="31" xfId="0" applyFont="1" applyFill="1" applyBorder="1" applyAlignment="1">
      <alignment vertical="top" wrapText="1"/>
    </xf>
    <xf numFmtId="0" fontId="71" fillId="0" borderId="32" xfId="2" applyFont="1" applyBorder="1" applyAlignment="1" applyProtection="1">
      <alignment horizontal="left" wrapText="1"/>
    </xf>
    <xf numFmtId="0" fontId="77" fillId="2" borderId="31" xfId="0" applyFont="1" applyFill="1" applyBorder="1" applyAlignment="1">
      <alignment vertical="top"/>
    </xf>
    <xf numFmtId="0" fontId="77" fillId="2" borderId="32" xfId="0" applyFont="1" applyFill="1" applyBorder="1" applyAlignment="1">
      <alignment wrapText="1"/>
    </xf>
    <xf numFmtId="0" fontId="15" fillId="0" borderId="0" xfId="0" applyFont="1" applyAlignment="1">
      <alignment horizontal="left" vertical="top"/>
    </xf>
    <xf numFmtId="0" fontId="103" fillId="0" borderId="0" xfId="0" applyFont="1"/>
    <xf numFmtId="0" fontId="88" fillId="0" borderId="62" xfId="0" applyFont="1" applyBorder="1"/>
    <xf numFmtId="0" fontId="88" fillId="0" borderId="62" xfId="0" applyFont="1" applyBorder="1" applyAlignment="1">
      <alignment horizontal="left" vertical="top"/>
    </xf>
    <xf numFmtId="0" fontId="77" fillId="0" borderId="0" xfId="0" applyFont="1" applyAlignment="1">
      <alignment vertical="top"/>
    </xf>
    <xf numFmtId="0" fontId="15" fillId="0" borderId="0" xfId="0" applyFont="1" applyAlignment="1">
      <alignment vertical="top"/>
    </xf>
    <xf numFmtId="0" fontId="103" fillId="0" borderId="0" xfId="0" applyFont="1" applyAlignment="1">
      <alignment vertical="top"/>
    </xf>
    <xf numFmtId="0" fontId="28" fillId="2" borderId="0" xfId="1" applyFont="1" applyFill="1" applyAlignment="1" applyProtection="1"/>
    <xf numFmtId="0" fontId="69" fillId="2" borderId="0" xfId="0" applyFont="1" applyFill="1" applyAlignment="1">
      <alignment horizontal="left"/>
    </xf>
    <xf numFmtId="0" fontId="69" fillId="2" borderId="0" xfId="0" applyFont="1" applyFill="1" applyAlignment="1">
      <alignment horizontal="right"/>
    </xf>
    <xf numFmtId="0" fontId="55" fillId="2" borderId="0" xfId="0" applyFont="1" applyFill="1"/>
    <xf numFmtId="0" fontId="92" fillId="2" borderId="0" xfId="0" applyFont="1" applyFill="1" applyAlignment="1">
      <alignment horizontal="left"/>
    </xf>
    <xf numFmtId="0" fontId="50" fillId="7" borderId="0" xfId="0" applyFont="1" applyFill="1" applyAlignment="1">
      <alignment horizontal="right"/>
    </xf>
    <xf numFmtId="0" fontId="50" fillId="7" borderId="1" xfId="0" applyFont="1" applyFill="1" applyBorder="1" applyAlignment="1">
      <alignment horizontal="right"/>
    </xf>
    <xf numFmtId="0" fontId="92" fillId="7" borderId="3" xfId="0" applyFont="1" applyFill="1" applyBorder="1" applyAlignment="1">
      <alignment horizontal="right"/>
    </xf>
    <xf numFmtId="0" fontId="92" fillId="7" borderId="0" xfId="0" applyFont="1" applyFill="1" applyAlignment="1">
      <alignment horizontal="right"/>
    </xf>
    <xf numFmtId="0" fontId="28" fillId="0" borderId="34" xfId="0" applyFont="1" applyBorder="1"/>
    <xf numFmtId="0" fontId="92" fillId="0" borderId="50" xfId="0" applyFont="1" applyBorder="1" applyAlignment="1">
      <alignment horizontal="right"/>
    </xf>
    <xf numFmtId="0" fontId="92" fillId="0" borderId="49" xfId="0" applyFont="1" applyBorder="1" applyAlignment="1">
      <alignment horizontal="right"/>
    </xf>
    <xf numFmtId="0" fontId="92" fillId="0" borderId="23" xfId="0" applyFont="1" applyBorder="1" applyAlignment="1">
      <alignment horizontal="right"/>
    </xf>
    <xf numFmtId="0" fontId="28" fillId="0" borderId="29" xfId="0" applyFont="1" applyBorder="1" applyAlignment="1">
      <alignment horizontal="right"/>
    </xf>
    <xf numFmtId="0" fontId="28" fillId="0" borderId="10" xfId="0" applyFont="1" applyBorder="1" applyAlignment="1">
      <alignment horizontal="right"/>
    </xf>
    <xf numFmtId="0" fontId="28" fillId="0" borderId="2" xfId="0" applyFont="1" applyBorder="1" applyAlignment="1">
      <alignment horizontal="right"/>
    </xf>
    <xf numFmtId="164" fontId="33" fillId="7" borderId="0" xfId="0" applyNumberFormat="1" applyFont="1" applyFill="1" applyAlignment="1">
      <alignment horizontal="right"/>
    </xf>
    <xf numFmtId="164" fontId="58" fillId="7" borderId="0" xfId="0" applyNumberFormat="1" applyFont="1" applyFill="1" applyAlignment="1">
      <alignment horizontal="right"/>
    </xf>
    <xf numFmtId="0" fontId="59" fillId="7" borderId="0" xfId="0" applyFont="1" applyFill="1" applyAlignment="1">
      <alignment horizontal="right"/>
    </xf>
    <xf numFmtId="0" fontId="28" fillId="0" borderId="0" xfId="14" applyFont="1" applyAlignment="1">
      <alignment horizontal="left" wrapText="1"/>
    </xf>
    <xf numFmtId="0" fontId="33" fillId="12" borderId="0" xfId="14" applyFont="1" applyFill="1" applyAlignment="1">
      <alignment horizontal="right" wrapText="1"/>
    </xf>
    <xf numFmtId="0" fontId="33" fillId="7" borderId="15" xfId="14" applyFont="1" applyFill="1" applyBorder="1" applyAlignment="1">
      <alignment horizontal="right" wrapText="1"/>
    </xf>
    <xf numFmtId="0" fontId="33" fillId="7" borderId="35" xfId="14" applyFont="1" applyFill="1" applyBorder="1" applyAlignment="1">
      <alignment horizontal="right" wrapText="1"/>
    </xf>
    <xf numFmtId="3" fontId="28" fillId="2" borderId="15" xfId="14" applyNumberFormat="1" applyFont="1" applyFill="1" applyBorder="1" applyAlignment="1">
      <alignment horizontal="right"/>
    </xf>
    <xf numFmtId="3" fontId="33" fillId="2" borderId="15" xfId="14" applyNumberFormat="1" applyFont="1" applyFill="1" applyBorder="1" applyAlignment="1">
      <alignment horizontal="right"/>
    </xf>
    <xf numFmtId="3" fontId="58" fillId="2" borderId="15" xfId="14" applyNumberFormat="1" applyFont="1" applyFill="1" applyBorder="1" applyAlignment="1">
      <alignment horizontal="right"/>
    </xf>
    <xf numFmtId="0" fontId="30" fillId="0" borderId="49" xfId="5" applyFont="1" applyBorder="1" applyAlignment="1">
      <alignment horizontal="right" wrapText="1"/>
    </xf>
    <xf numFmtId="0" fontId="88" fillId="0" borderId="51" xfId="0" applyFont="1" applyBorder="1" applyAlignment="1">
      <alignment horizontal="right" wrapText="1"/>
    </xf>
    <xf numFmtId="0" fontId="88" fillId="0" borderId="48" xfId="0" applyFont="1" applyBorder="1" applyAlignment="1">
      <alignment horizontal="right" wrapText="1"/>
    </xf>
    <xf numFmtId="0" fontId="88" fillId="0" borderId="24" xfId="0" applyFont="1" applyBorder="1" applyAlignment="1">
      <alignment horizontal="right" wrapText="1"/>
    </xf>
    <xf numFmtId="0" fontId="50" fillId="0" borderId="50" xfId="0" applyFont="1" applyBorder="1" applyAlignment="1">
      <alignment horizontal="right"/>
    </xf>
    <xf numFmtId="0" fontId="50" fillId="0" borderId="49" xfId="0" applyFont="1" applyBorder="1" applyAlignment="1">
      <alignment horizontal="right"/>
    </xf>
    <xf numFmtId="0" fontId="28" fillId="0" borderId="0" xfId="0" applyFont="1" applyBorder="1" applyAlignment="1">
      <alignment vertical="center"/>
    </xf>
    <xf numFmtId="0" fontId="35" fillId="0" borderId="29" xfId="0" applyFont="1" applyBorder="1" applyAlignment="1">
      <alignment vertical="center"/>
    </xf>
    <xf numFmtId="0" fontId="35" fillId="0" borderId="25" xfId="0" applyFont="1" applyBorder="1" applyAlignment="1">
      <alignment vertical="center"/>
    </xf>
    <xf numFmtId="0" fontId="28" fillId="0" borderId="0" xfId="0" applyFont="1" applyBorder="1" applyAlignment="1">
      <alignment vertical="center" wrapText="1"/>
    </xf>
    <xf numFmtId="0" fontId="104" fillId="12" borderId="0" xfId="1" applyFont="1" applyFill="1" applyAlignment="1" applyProtection="1">
      <alignment vertical="center"/>
    </xf>
    <xf numFmtId="0" fontId="104" fillId="12" borderId="0" xfId="1" applyFont="1" applyFill="1" applyAlignment="1" applyProtection="1"/>
    <xf numFmtId="0" fontId="34" fillId="9" borderId="20" xfId="0" applyFont="1" applyFill="1" applyBorder="1" applyAlignment="1">
      <alignment horizontal="right"/>
    </xf>
    <xf numFmtId="165" fontId="34" fillId="9" borderId="0" xfId="0" applyNumberFormat="1" applyFont="1" applyFill="1" applyAlignment="1">
      <alignment horizontal="right"/>
    </xf>
    <xf numFmtId="0" fontId="34" fillId="9" borderId="21" xfId="0" applyFont="1" applyFill="1" applyBorder="1" applyAlignment="1">
      <alignment horizontal="right"/>
    </xf>
    <xf numFmtId="0" fontId="34" fillId="9" borderId="41" xfId="0" applyFont="1" applyFill="1" applyBorder="1" applyAlignment="1">
      <alignment horizontal="right"/>
    </xf>
    <xf numFmtId="165" fontId="34" fillId="9" borderId="29" xfId="0" applyNumberFormat="1" applyFont="1" applyFill="1" applyBorder="1" applyAlignment="1">
      <alignment horizontal="right"/>
    </xf>
    <xf numFmtId="0" fontId="34" fillId="9" borderId="42" xfId="0" applyFont="1" applyFill="1" applyBorder="1" applyAlignment="1">
      <alignment horizontal="right"/>
    </xf>
    <xf numFmtId="0" fontId="34" fillId="7" borderId="20" xfId="0" applyFont="1" applyFill="1" applyBorder="1" applyAlignment="1">
      <alignment horizontal="right"/>
    </xf>
    <xf numFmtId="165" fontId="34" fillId="2" borderId="0" xfId="0" applyNumberFormat="1" applyFont="1" applyFill="1" applyAlignment="1">
      <alignment horizontal="right"/>
    </xf>
    <xf numFmtId="0" fontId="34" fillId="7" borderId="21" xfId="0" applyFont="1" applyFill="1" applyBorder="1" applyAlignment="1">
      <alignment horizontal="right"/>
    </xf>
    <xf numFmtId="165" fontId="34" fillId="0" borderId="0" xfId="0" applyNumberFormat="1" applyFont="1" applyAlignment="1">
      <alignment horizontal="right"/>
    </xf>
    <xf numFmtId="0" fontId="35" fillId="9" borderId="64" xfId="0" applyFont="1" applyFill="1" applyBorder="1" applyAlignment="1">
      <alignment horizontal="left"/>
    </xf>
    <xf numFmtId="0" fontId="35" fillId="9" borderId="65" xfId="0" applyFont="1" applyFill="1" applyBorder="1" applyAlignment="1">
      <alignment horizontal="left"/>
    </xf>
    <xf numFmtId="0" fontId="35" fillId="2" borderId="64" xfId="0" applyFont="1" applyFill="1" applyBorder="1" applyAlignment="1">
      <alignment horizontal="left"/>
    </xf>
    <xf numFmtId="0" fontId="34" fillId="9" borderId="15" xfId="0" applyFont="1" applyFill="1" applyBorder="1" applyAlignment="1">
      <alignment horizontal="right"/>
    </xf>
    <xf numFmtId="0" fontId="34" fillId="9" borderId="35" xfId="0" applyFont="1" applyFill="1" applyBorder="1" applyAlignment="1">
      <alignment horizontal="right"/>
    </xf>
    <xf numFmtId="0" fontId="34" fillId="7" borderId="15" xfId="0" applyFont="1" applyFill="1" applyBorder="1" applyAlignment="1">
      <alignment horizontal="right"/>
    </xf>
    <xf numFmtId="0" fontId="35" fillId="2" borderId="29" xfId="0" applyFont="1" applyFill="1" applyBorder="1" applyAlignment="1">
      <alignment horizontal="left" wrapText="1"/>
    </xf>
    <xf numFmtId="0" fontId="35" fillId="7" borderId="41" xfId="0" applyFont="1" applyFill="1" applyBorder="1" applyAlignment="1">
      <alignment horizontal="right" wrapText="1"/>
    </xf>
    <xf numFmtId="0" fontId="35" fillId="2" borderId="29" xfId="0" applyFont="1" applyFill="1" applyBorder="1" applyAlignment="1">
      <alignment horizontal="right" wrapText="1"/>
    </xf>
    <xf numFmtId="0" fontId="35" fillId="7" borderId="42" xfId="0" applyFont="1" applyFill="1" applyBorder="1" applyAlignment="1">
      <alignment horizontal="right" wrapText="1"/>
    </xf>
    <xf numFmtId="0" fontId="35" fillId="7" borderId="35" xfId="0" applyFont="1" applyFill="1" applyBorder="1" applyAlignment="1">
      <alignment horizontal="right" wrapText="1"/>
    </xf>
    <xf numFmtId="165" fontId="34" fillId="2" borderId="0" xfId="0" applyNumberFormat="1" applyFont="1" applyFill="1" applyBorder="1" applyAlignment="1">
      <alignment horizontal="right"/>
    </xf>
    <xf numFmtId="0" fontId="50" fillId="2" borderId="0" xfId="0" applyFont="1" applyFill="1" applyAlignment="1">
      <alignment horizontal="left"/>
    </xf>
    <xf numFmtId="0" fontId="50" fillId="2" borderId="1" xfId="0" applyFont="1" applyFill="1" applyBorder="1" applyAlignment="1">
      <alignment horizontal="left"/>
    </xf>
    <xf numFmtId="0" fontId="30" fillId="2" borderId="1" xfId="0" applyFont="1" applyFill="1" applyBorder="1" applyAlignment="1">
      <alignment horizontal="left"/>
    </xf>
    <xf numFmtId="0" fontId="28" fillId="7" borderId="0" xfId="0" quotePrefix="1" applyFont="1" applyFill="1" applyAlignment="1">
      <alignment horizontal="right"/>
    </xf>
    <xf numFmtId="0" fontId="30" fillId="2" borderId="15" xfId="14" applyFont="1" applyFill="1" applyBorder="1" applyAlignment="1">
      <alignment horizontal="right" wrapText="1"/>
    </xf>
    <xf numFmtId="0" fontId="32" fillId="2" borderId="15" xfId="14" applyFont="1" applyFill="1" applyBorder="1" applyAlignment="1">
      <alignment horizontal="right" wrapText="1"/>
    </xf>
    <xf numFmtId="0" fontId="30" fillId="12" borderId="15" xfId="14" applyFont="1" applyFill="1" applyBorder="1" applyAlignment="1">
      <alignment horizontal="right" wrapText="1"/>
    </xf>
    <xf numFmtId="0" fontId="5" fillId="2" borderId="0" xfId="0" applyFont="1" applyFill="1" applyAlignment="1">
      <alignment horizontal="left"/>
    </xf>
    <xf numFmtId="0" fontId="5" fillId="2" borderId="1" xfId="0" applyFont="1" applyFill="1" applyBorder="1" applyAlignment="1">
      <alignment horizontal="left"/>
    </xf>
    <xf numFmtId="0" fontId="28" fillId="2" borderId="1" xfId="0" applyFont="1" applyFill="1" applyBorder="1" applyAlignment="1">
      <alignment horizontal="left"/>
    </xf>
    <xf numFmtId="0" fontId="50" fillId="2" borderId="8" xfId="0" applyFont="1" applyFill="1" applyBorder="1" applyAlignment="1">
      <alignment horizontal="left"/>
    </xf>
    <xf numFmtId="0" fontId="30" fillId="2" borderId="54" xfId="0" applyFont="1" applyFill="1" applyBorder="1" applyAlignment="1">
      <alignment horizontal="right" wrapText="1"/>
    </xf>
    <xf numFmtId="0" fontId="30" fillId="2" borderId="48" xfId="0" applyFont="1" applyFill="1" applyBorder="1" applyAlignment="1">
      <alignment horizontal="right" wrapText="1"/>
    </xf>
    <xf numFmtId="0" fontId="30" fillId="2" borderId="51" xfId="0" applyFont="1" applyFill="1" applyBorder="1" applyAlignment="1">
      <alignment horizontal="right" wrapText="1"/>
    </xf>
    <xf numFmtId="0" fontId="30" fillId="2" borderId="49" xfId="0" applyFont="1" applyFill="1" applyBorder="1" applyAlignment="1">
      <alignment horizontal="right" wrapText="1"/>
    </xf>
    <xf numFmtId="0" fontId="30" fillId="2" borderId="55" xfId="0" applyFont="1" applyFill="1" applyBorder="1" applyAlignment="1">
      <alignment horizontal="right" wrapText="1"/>
    </xf>
    <xf numFmtId="0" fontId="30" fillId="0" borderId="23" xfId="0" applyFont="1" applyBorder="1" applyAlignment="1">
      <alignment horizontal="left" wrapText="1"/>
    </xf>
  </cellXfs>
  <cellStyles count="134">
    <cellStyle name="ANCLAS,REZONES Y SUS PARTES,DE FUNDICION,DE HIERRO O DE ACERO" xfId="21" xr:uid="{00000000-0005-0000-0000-000000000000}"/>
    <cellStyle name="ANCLAS,REZONES Y SUS PARTES,DE FUNDICION,DE HIERRO O DE ACERO 2" xfId="22" xr:uid="{00000000-0005-0000-0000-000001000000}"/>
    <cellStyle name="ANCLAS,REZONES Y SUS PARTES,DE FUNDICION,DE HIERRO O DE ACERO 2 2" xfId="23" xr:uid="{00000000-0005-0000-0000-000002000000}"/>
    <cellStyle name="ANCLAS,REZONES Y SUS PARTES,DE FUNDICION,DE HIERRO O DE ACERO 2 2 2" xfId="24" xr:uid="{00000000-0005-0000-0000-000003000000}"/>
    <cellStyle name="ANCLAS,REZONES Y SUS PARTES,DE FUNDICION,DE HIERRO O DE ACERO 2 2 3" xfId="25" xr:uid="{00000000-0005-0000-0000-000004000000}"/>
    <cellStyle name="ANCLAS,REZONES Y SUS PARTES,DE FUNDICION,DE HIERRO O DE ACERO 2 3" xfId="26" xr:uid="{00000000-0005-0000-0000-000005000000}"/>
    <cellStyle name="ANCLAS,REZONES Y SUS PARTES,DE FUNDICION,DE HIERRO O DE ACERO 2 3 2" xfId="27" xr:uid="{00000000-0005-0000-0000-000006000000}"/>
    <cellStyle name="ANCLAS,REZONES Y SUS PARTES,DE FUNDICION,DE HIERRO O DE ACERO 2 4" xfId="28" xr:uid="{00000000-0005-0000-0000-000007000000}"/>
    <cellStyle name="ANCLAS,REZONES Y SUS PARTES,DE FUNDICION,DE HIERRO O DE ACERO 3" xfId="29" xr:uid="{00000000-0005-0000-0000-000008000000}"/>
    <cellStyle name="ANCLAS,REZONES Y SUS PARTES,DE FUNDICION,DE HIERRO O DE ACERO 3 2" xfId="30" xr:uid="{00000000-0005-0000-0000-000009000000}"/>
    <cellStyle name="ANCLAS,REZONES Y SUS PARTES,DE FUNDICION,DE HIERRO O DE ACERO 4" xfId="31" xr:uid="{00000000-0005-0000-0000-00000A000000}"/>
    <cellStyle name="cells" xfId="32" xr:uid="{00000000-0005-0000-0000-00000B000000}"/>
    <cellStyle name="cells 2" xfId="33" xr:uid="{00000000-0005-0000-0000-00000C000000}"/>
    <cellStyle name="cells 3" xfId="34" xr:uid="{00000000-0005-0000-0000-00000D000000}"/>
    <cellStyle name="column field" xfId="35" xr:uid="{00000000-0005-0000-0000-00000E000000}"/>
    <cellStyle name="column field 2" xfId="36" xr:uid="{00000000-0005-0000-0000-00000F000000}"/>
    <cellStyle name="column field 3" xfId="37" xr:uid="{00000000-0005-0000-0000-000010000000}"/>
    <cellStyle name="Comma 2" xfId="38" xr:uid="{00000000-0005-0000-0000-000011000000}"/>
    <cellStyle name="Comma 2 2" xfId="39" xr:uid="{00000000-0005-0000-0000-000012000000}"/>
    <cellStyle name="Comma 2 3" xfId="40" xr:uid="{00000000-0005-0000-0000-000013000000}"/>
    <cellStyle name="Comma 3" xfId="41" xr:uid="{00000000-0005-0000-0000-000014000000}"/>
    <cellStyle name="Comma 3 2" xfId="42" xr:uid="{00000000-0005-0000-0000-000015000000}"/>
    <cellStyle name="Comma 3 3" xfId="43" xr:uid="{00000000-0005-0000-0000-000016000000}"/>
    <cellStyle name="Comma 4" xfId="44" xr:uid="{00000000-0005-0000-0000-000017000000}"/>
    <cellStyle name="Comma 4 2" xfId="45" xr:uid="{00000000-0005-0000-0000-000018000000}"/>
    <cellStyle name="Comma 4 3" xfId="46" xr:uid="{00000000-0005-0000-0000-000019000000}"/>
    <cellStyle name="Comma 5" xfId="47" xr:uid="{00000000-0005-0000-0000-00001A000000}"/>
    <cellStyle name="Comma 5 2" xfId="48" xr:uid="{00000000-0005-0000-0000-00001B000000}"/>
    <cellStyle name="Comma 5 3" xfId="49" xr:uid="{00000000-0005-0000-0000-00001C000000}"/>
    <cellStyle name="Comma 6" xfId="50" xr:uid="{00000000-0005-0000-0000-00001D000000}"/>
    <cellStyle name="Comma 7" xfId="51" xr:uid="{00000000-0005-0000-0000-00001E000000}"/>
    <cellStyle name="Comma 8" xfId="17" xr:uid="{00000000-0005-0000-0000-00001F000000}"/>
    <cellStyle name="field" xfId="52" xr:uid="{00000000-0005-0000-0000-000020000000}"/>
    <cellStyle name="field 2" xfId="53" xr:uid="{00000000-0005-0000-0000-000021000000}"/>
    <cellStyle name="field 3" xfId="54" xr:uid="{00000000-0005-0000-0000-000022000000}"/>
    <cellStyle name="field names" xfId="55" xr:uid="{00000000-0005-0000-0000-000023000000}"/>
    <cellStyle name="field names 2" xfId="56" xr:uid="{00000000-0005-0000-0000-000024000000}"/>
    <cellStyle name="footer" xfId="57" xr:uid="{00000000-0005-0000-0000-000025000000}"/>
    <cellStyle name="footer 2" xfId="58" xr:uid="{00000000-0005-0000-0000-000026000000}"/>
    <cellStyle name="heading" xfId="59" xr:uid="{00000000-0005-0000-0000-000027000000}"/>
    <cellStyle name="Heading 1" xfId="15" builtinId="16"/>
    <cellStyle name="Heading 1 2" xfId="18" xr:uid="{00000000-0005-0000-0000-000029000000}"/>
    <cellStyle name="Heading 2" xfId="123" builtinId="17"/>
    <cellStyle name="Heading 2 2" xfId="19" xr:uid="{00000000-0005-0000-0000-00002B000000}"/>
    <cellStyle name="Heading 3 2" xfId="20" xr:uid="{00000000-0005-0000-0000-00002D000000}"/>
    <cellStyle name="heading 5" xfId="60" xr:uid="{00000000-0005-0000-0000-00002E000000}"/>
    <cellStyle name="Headings" xfId="61" xr:uid="{00000000-0005-0000-0000-00002F000000}"/>
    <cellStyle name="Headings 2" xfId="62" xr:uid="{00000000-0005-0000-0000-000030000000}"/>
    <cellStyle name="Headings 3" xfId="63" xr:uid="{00000000-0005-0000-0000-000031000000}"/>
    <cellStyle name="Hyperlink" xfId="1" builtinId="8"/>
    <cellStyle name="Hyperlink 2" xfId="2" xr:uid="{00000000-0005-0000-0000-000033000000}"/>
    <cellStyle name="Hyperlink 2 2" xfId="3" xr:uid="{00000000-0005-0000-0000-000034000000}"/>
    <cellStyle name="Hyperlink 2 2 2" xfId="67" xr:uid="{00000000-0005-0000-0000-000035000000}"/>
    <cellStyle name="Hyperlink 2 2 3" xfId="66" xr:uid="{00000000-0005-0000-0000-000036000000}"/>
    <cellStyle name="Hyperlink 2 3" xfId="68" xr:uid="{00000000-0005-0000-0000-000037000000}"/>
    <cellStyle name="Hyperlink 2 4" xfId="65" xr:uid="{00000000-0005-0000-0000-000038000000}"/>
    <cellStyle name="Hyperlink 3" xfId="4" xr:uid="{00000000-0005-0000-0000-000039000000}"/>
    <cellStyle name="Hyperlink 3 2" xfId="70" xr:uid="{00000000-0005-0000-0000-00003A000000}"/>
    <cellStyle name="Hyperlink 3 3" xfId="69" xr:uid="{00000000-0005-0000-0000-00003B000000}"/>
    <cellStyle name="Hyperlink 4" xfId="71" xr:uid="{00000000-0005-0000-0000-00003C000000}"/>
    <cellStyle name="Hyperlink 5" xfId="64" xr:uid="{00000000-0005-0000-0000-00003D000000}"/>
    <cellStyle name="Normal" xfId="0" builtinId="0"/>
    <cellStyle name="Normal 10" xfId="72" xr:uid="{00000000-0005-0000-0000-00003F000000}"/>
    <cellStyle name="Normal 11" xfId="16" xr:uid="{00000000-0005-0000-0000-000040000000}"/>
    <cellStyle name="Normal 16" xfId="73" xr:uid="{00000000-0005-0000-0000-000041000000}"/>
    <cellStyle name="Normal 16 2" xfId="74" xr:uid="{00000000-0005-0000-0000-000042000000}"/>
    <cellStyle name="Normal 2" xfId="5" xr:uid="{00000000-0005-0000-0000-000043000000}"/>
    <cellStyle name="Normal 2 2" xfId="6" xr:uid="{00000000-0005-0000-0000-000044000000}"/>
    <cellStyle name="Normal 2 2 2" xfId="77" xr:uid="{00000000-0005-0000-0000-000045000000}"/>
    <cellStyle name="Normal 2 2 2 2" xfId="78" xr:uid="{00000000-0005-0000-0000-000046000000}"/>
    <cellStyle name="Normal 2 2 2 3" xfId="79" xr:uid="{00000000-0005-0000-0000-000047000000}"/>
    <cellStyle name="Normal 2 2 3" xfId="80" xr:uid="{00000000-0005-0000-0000-000048000000}"/>
    <cellStyle name="Normal 2 2 3 2" xfId="81" xr:uid="{00000000-0005-0000-0000-000049000000}"/>
    <cellStyle name="Normal 2 2 4" xfId="82" xr:uid="{00000000-0005-0000-0000-00004A000000}"/>
    <cellStyle name="Normal 2 2 5" xfId="76" xr:uid="{00000000-0005-0000-0000-00004B000000}"/>
    <cellStyle name="Normal 2 3" xfId="7" xr:uid="{00000000-0005-0000-0000-00004C000000}"/>
    <cellStyle name="Normal 2 3 2" xfId="84" xr:uid="{00000000-0005-0000-0000-00004D000000}"/>
    <cellStyle name="Normal 2 3 3" xfId="83" xr:uid="{00000000-0005-0000-0000-00004E000000}"/>
    <cellStyle name="Normal 2 3 4" xfId="124" xr:uid="{00000000-0005-0000-0000-00004F000000}"/>
    <cellStyle name="Normal 2 3 4 2" xfId="130" xr:uid="{BCAD9988-0712-42D3-A4F3-D0887F53CDBE}"/>
    <cellStyle name="Normal 2 3 5" xfId="127" xr:uid="{B0EB4D66-A48B-41DD-AC58-2F6D7B58E40A}"/>
    <cellStyle name="Normal 2 4" xfId="8" xr:uid="{00000000-0005-0000-0000-000050000000}"/>
    <cellStyle name="Normal 2 4 2" xfId="85" xr:uid="{00000000-0005-0000-0000-000051000000}"/>
    <cellStyle name="Normal 2 5" xfId="75" xr:uid="{00000000-0005-0000-0000-000052000000}"/>
    <cellStyle name="Normal 3" xfId="9" xr:uid="{00000000-0005-0000-0000-000053000000}"/>
    <cellStyle name="Normal 3 2" xfId="10" xr:uid="{00000000-0005-0000-0000-000054000000}"/>
    <cellStyle name="Normal 3 2 2" xfId="87" xr:uid="{00000000-0005-0000-0000-000055000000}"/>
    <cellStyle name="Normal 3 2 3" xfId="126" xr:uid="{00000000-0005-0000-0000-000056000000}"/>
    <cellStyle name="Normal 3 2 3 2" xfId="132" xr:uid="{2C7508AD-EAAA-4977-AEFC-F88727FD2D64}"/>
    <cellStyle name="Normal 3 2 4" xfId="129" xr:uid="{EBE45C2D-935C-4F3D-9C90-8FD1A698CC6A}"/>
    <cellStyle name="Normal 3 3" xfId="11" xr:uid="{00000000-0005-0000-0000-000057000000}"/>
    <cellStyle name="Normal 3 3 2" xfId="88" xr:uid="{00000000-0005-0000-0000-000058000000}"/>
    <cellStyle name="Normal 3 4" xfId="12" xr:uid="{00000000-0005-0000-0000-000059000000}"/>
    <cellStyle name="Normal 3 4 2" xfId="89" xr:uid="{00000000-0005-0000-0000-00005A000000}"/>
    <cellStyle name="Normal 3 5" xfId="86" xr:uid="{00000000-0005-0000-0000-00005B000000}"/>
    <cellStyle name="Normal 3 6" xfId="125" xr:uid="{00000000-0005-0000-0000-00005C000000}"/>
    <cellStyle name="Normal 3 6 2" xfId="131" xr:uid="{008C23A1-4A59-4B4C-854E-EDED47F76C41}"/>
    <cellStyle name="Normal 3 7" xfId="128" xr:uid="{026A0A56-5687-48BF-9B75-14B341BCCD6E}"/>
    <cellStyle name="Normal 4" xfId="90" xr:uid="{00000000-0005-0000-0000-00005D000000}"/>
    <cellStyle name="Normal 4 2" xfId="91" xr:uid="{00000000-0005-0000-0000-00005E000000}"/>
    <cellStyle name="Normal 4 2 2" xfId="92" xr:uid="{00000000-0005-0000-0000-00005F000000}"/>
    <cellStyle name="Normal 4 3" xfId="93" xr:uid="{00000000-0005-0000-0000-000060000000}"/>
    <cellStyle name="Normal 5" xfId="13" xr:uid="{00000000-0005-0000-0000-000061000000}"/>
    <cellStyle name="Normal 5 2" xfId="95" xr:uid="{00000000-0005-0000-0000-000062000000}"/>
    <cellStyle name="Normal 5 3" xfId="94" xr:uid="{00000000-0005-0000-0000-000063000000}"/>
    <cellStyle name="Normal 6" xfId="96" xr:uid="{00000000-0005-0000-0000-000064000000}"/>
    <cellStyle name="Normal 6 2" xfId="97" xr:uid="{00000000-0005-0000-0000-000065000000}"/>
    <cellStyle name="Normal 6 3" xfId="98" xr:uid="{00000000-0005-0000-0000-000066000000}"/>
    <cellStyle name="Normal 7" xfId="99" xr:uid="{00000000-0005-0000-0000-000067000000}"/>
    <cellStyle name="Normal 7 2" xfId="100" xr:uid="{00000000-0005-0000-0000-000068000000}"/>
    <cellStyle name="Normal 7 3" xfId="101" xr:uid="{00000000-0005-0000-0000-000069000000}"/>
    <cellStyle name="Normal 8" xfId="102" xr:uid="{00000000-0005-0000-0000-00006A000000}"/>
    <cellStyle name="Normal 8 2" xfId="103" xr:uid="{00000000-0005-0000-0000-00006B000000}"/>
    <cellStyle name="Normal 8 3" xfId="104" xr:uid="{00000000-0005-0000-0000-00006C000000}"/>
    <cellStyle name="Normal 9" xfId="105" xr:uid="{00000000-0005-0000-0000-00006D000000}"/>
    <cellStyle name="Normal 9 2" xfId="106" xr:uid="{00000000-0005-0000-0000-00006E000000}"/>
    <cellStyle name="Normal 9 3" xfId="107" xr:uid="{00000000-0005-0000-0000-00006F000000}"/>
    <cellStyle name="Normal_Sheet2" xfId="14" xr:uid="{00000000-0005-0000-0000-000070000000}"/>
    <cellStyle name="Note 2" xfId="108" xr:uid="{00000000-0005-0000-0000-000071000000}"/>
    <cellStyle name="Note 2 2" xfId="109" xr:uid="{00000000-0005-0000-0000-000072000000}"/>
    <cellStyle name="Paragraph Han" xfId="110" xr:uid="{00000000-0005-0000-0000-000073000000}"/>
    <cellStyle name="Percent" xfId="133" builtinId="5"/>
    <cellStyle name="Percent 2" xfId="111" xr:uid="{00000000-0005-0000-0000-000074000000}"/>
    <cellStyle name="Percent 2 2" xfId="112" xr:uid="{00000000-0005-0000-0000-000075000000}"/>
    <cellStyle name="Percent 3" xfId="113" xr:uid="{00000000-0005-0000-0000-000076000000}"/>
    <cellStyle name="Percent 3 2" xfId="114" xr:uid="{00000000-0005-0000-0000-000077000000}"/>
    <cellStyle name="Percent 3 3" xfId="115" xr:uid="{00000000-0005-0000-0000-000078000000}"/>
    <cellStyle name="Row_Headings" xfId="116" xr:uid="{00000000-0005-0000-0000-000079000000}"/>
    <cellStyle name="rowfield" xfId="117" xr:uid="{00000000-0005-0000-0000-00007A000000}"/>
    <cellStyle name="rowfield 2" xfId="118" xr:uid="{00000000-0005-0000-0000-00007B000000}"/>
    <cellStyle name="rowfield 3" xfId="119" xr:uid="{00000000-0005-0000-0000-00007C000000}"/>
    <cellStyle name="Test" xfId="120" xr:uid="{00000000-0005-0000-0000-00007D000000}"/>
    <cellStyle name="Test 2" xfId="121" xr:uid="{00000000-0005-0000-0000-00007E000000}"/>
    <cellStyle name="Test 3" xfId="122" xr:uid="{00000000-0005-0000-0000-00007F000000}"/>
  </cellStyles>
  <dxfs count="249">
    <dxf>
      <font>
        <b val="0"/>
        <i/>
        <strike val="0"/>
        <condense val="0"/>
        <extend val="0"/>
        <outline val="0"/>
        <shadow val="0"/>
        <u val="none"/>
        <vertAlign val="baseline"/>
        <sz val="12"/>
        <color auto="1"/>
        <name val="Calibri"/>
        <family val="2"/>
        <scheme val="minor"/>
      </font>
      <fill>
        <patternFill patternType="solid">
          <fgColor indexed="64"/>
          <bgColor rgb="FFCBDA5C"/>
        </patternFill>
      </fill>
      <alignment horizontal="right" vertical="bottom" textRotation="0" wrapText="0" indent="0" justifyLastLine="0" shrinkToFit="0" readingOrder="0"/>
      <border diagonalUp="0" diagonalDown="0" outline="0">
        <left style="thin">
          <color indexed="64"/>
        </left>
        <right/>
        <top/>
        <bottom/>
      </border>
    </dxf>
    <dxf>
      <font>
        <b val="0"/>
        <i/>
        <strike val="0"/>
        <condense val="0"/>
        <extend val="0"/>
        <outline val="0"/>
        <shadow val="0"/>
        <u val="none"/>
        <vertAlign val="baseline"/>
        <sz val="12"/>
        <color auto="1"/>
        <name val="Calibri"/>
        <family val="2"/>
        <scheme val="minor"/>
      </font>
      <fill>
        <patternFill patternType="solid">
          <fgColor indexed="64"/>
          <bgColor rgb="FFCBDA5C"/>
        </patternFill>
      </fill>
      <alignment horizontal="right" vertical="bottom" textRotation="0" wrapText="0" indent="0" justifyLastLine="0" shrinkToFit="0" readingOrder="0"/>
      <border diagonalUp="0" diagonalDown="0" outline="0">
        <left style="thick">
          <color indexed="64"/>
        </left>
        <right style="thin">
          <color indexed="64"/>
        </right>
        <top/>
        <bottom/>
      </border>
    </dxf>
    <dxf>
      <font>
        <b val="0"/>
        <i/>
        <strike val="0"/>
        <condense val="0"/>
        <extend val="0"/>
        <outline val="0"/>
        <shadow val="0"/>
        <u val="none"/>
        <vertAlign val="baseline"/>
        <sz val="12"/>
        <color auto="1"/>
        <name val="Calibri"/>
        <family val="2"/>
        <scheme val="minor"/>
      </font>
      <fill>
        <patternFill patternType="solid">
          <fgColor indexed="64"/>
          <bgColor rgb="FFCBDA5C"/>
        </patternFill>
      </fill>
      <alignment horizontal="right" vertical="bottom" textRotation="0" wrapText="0" indent="0" justifyLastLine="0" shrinkToFit="0" readingOrder="0"/>
      <border diagonalUp="0" diagonalDown="0" outline="0">
        <left style="thin">
          <color indexed="64"/>
        </left>
        <right style="thick">
          <color indexed="64"/>
        </right>
        <top/>
        <bottom/>
      </border>
    </dxf>
    <dxf>
      <font>
        <b val="0"/>
        <i/>
        <strike val="0"/>
        <condense val="0"/>
        <extend val="0"/>
        <outline val="0"/>
        <shadow val="0"/>
        <u val="none"/>
        <vertAlign val="baseline"/>
        <sz val="12"/>
        <color auto="1"/>
        <name val="Calibri"/>
        <family val="2"/>
        <scheme val="minor"/>
      </font>
      <fill>
        <patternFill patternType="solid">
          <fgColor indexed="64"/>
          <bgColor rgb="FFCBDA5C"/>
        </patternFill>
      </fill>
      <alignment horizontal="right" vertical="bottom" textRotation="0" wrapText="0" indent="0" justifyLastLine="0" shrinkToFit="0" readingOrder="0"/>
      <border diagonalUp="0" diagonalDown="0" outline="0">
        <left style="medium">
          <color indexed="64"/>
        </left>
        <right style="thin">
          <color indexed="64"/>
        </right>
        <top/>
        <bottom/>
      </border>
    </dxf>
    <dxf>
      <font>
        <b val="0"/>
        <i/>
        <strike val="0"/>
        <condense val="0"/>
        <extend val="0"/>
        <outline val="0"/>
        <shadow val="0"/>
        <u val="none"/>
        <vertAlign val="baseline"/>
        <sz val="12"/>
        <color auto="1"/>
        <name val="Calibri"/>
        <family val="2"/>
        <scheme val="minor"/>
      </font>
      <fill>
        <patternFill patternType="solid">
          <fgColor indexed="64"/>
          <bgColor rgb="FFCBDA5C"/>
        </patternFill>
      </fill>
      <alignment horizontal="right" vertical="bottom" textRotation="0" wrapText="0" indent="0" justifyLastLine="0" shrinkToFit="0" readingOrder="0"/>
      <border diagonalUp="0" diagonalDown="0" outline="0">
        <left/>
        <right style="thick">
          <color indexed="64"/>
        </right>
        <top/>
        <bottom/>
      </border>
    </dxf>
    <dxf>
      <font>
        <b val="0"/>
        <i/>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top"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rgb="FFCBDA5C"/>
        </patternFill>
      </fill>
      <alignment horizontal="right" vertical="bottom" textRotation="0" wrapText="0" indent="0" justifyLastLine="0" shrinkToFit="0" readingOrder="0"/>
      <border diagonalUp="0" diagonalDown="0" outline="0">
        <left style="thick">
          <color indexed="64"/>
        </left>
        <right/>
        <top/>
        <bottom/>
      </border>
    </dxf>
    <dxf>
      <font>
        <b/>
        <strike val="0"/>
        <outline val="0"/>
        <shadow val="0"/>
        <u val="none"/>
        <vertAlign val="baseline"/>
        <sz val="10"/>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border diagonalUp="0" diagonalDown="0" outline="0">
        <left/>
        <right style="medium">
          <color indexed="64"/>
        </right>
        <top/>
        <bottom/>
      </border>
    </dxf>
    <dxf>
      <font>
        <i val="0"/>
        <strike val="0"/>
        <outline val="0"/>
        <shadow val="0"/>
        <u val="none"/>
        <vertAlign val="baseline"/>
        <sz val="12"/>
        <name val="Calibri"/>
        <scheme val="minor"/>
      </font>
      <fill>
        <patternFill patternType="solid">
          <fgColor indexed="64"/>
          <bgColor rgb="FFCADCF2"/>
        </patternFill>
      </fill>
      <alignment horizontal="right" vertical="bottom"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rgb="FFCADCF2"/>
        </patternFill>
      </fill>
      <alignment horizontal="right" vertical="bottom" textRotation="0" wrapText="0" indent="0" justifyLastLine="0" shrinkToFit="0" readingOrder="0"/>
    </dxf>
    <dxf>
      <font>
        <strike val="0"/>
        <outline val="0"/>
        <shadow val="0"/>
        <u val="none"/>
        <vertAlign val="baseline"/>
        <sz val="12"/>
        <color auto="1"/>
        <name val="Calibri"/>
        <scheme val="minor"/>
      </font>
      <fill>
        <patternFill patternType="solid">
          <fgColor indexed="64"/>
          <bgColor rgb="FFCADCF2"/>
        </patternFill>
      </fill>
      <alignment horizontal="right" vertical="bottom" textRotation="0" wrapText="0" indent="0" justifyLastLine="0" shrinkToFit="0" readingOrder="0"/>
    </dxf>
    <dxf>
      <font>
        <strike val="0"/>
        <outline val="0"/>
        <shadow val="0"/>
        <u val="none"/>
        <vertAlign val="baseline"/>
        <sz val="12"/>
        <color auto="1"/>
        <name val="Calibri"/>
        <scheme val="minor"/>
      </font>
      <numFmt numFmtId="0" formatCode="General"/>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color auto="1"/>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color auto="1"/>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color auto="1"/>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color auto="1"/>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u val="none"/>
        <vertAlign val="baseline"/>
        <sz val="12"/>
        <name val="Calibri"/>
        <scheme val="minor"/>
      </font>
      <fill>
        <patternFill>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Calibri"/>
        <family val="2"/>
        <scheme val="minor"/>
      </font>
      <fill>
        <patternFill patternType="solid">
          <fgColor indexed="64"/>
          <bgColor rgb="FFCADCF2"/>
        </patternFill>
      </fill>
      <alignment horizontal="right" vertical="bottom" textRotation="0" wrapText="1" indent="0" justifyLastLine="0" shrinkToFit="0" readingOrder="0"/>
      <border diagonalUp="0" diagonalDown="0" outline="0">
        <left style="thin">
          <color indexed="64"/>
        </left>
        <right/>
        <top/>
        <bottom/>
      </border>
    </dxf>
    <dxf>
      <font>
        <b/>
        <i val="0"/>
        <strike val="0"/>
        <condense val="0"/>
        <extend val="0"/>
        <outline val="0"/>
        <shadow val="0"/>
        <u val="none"/>
        <vertAlign val="baseline"/>
        <sz val="12"/>
        <color theme="1"/>
        <name val="Calibri"/>
        <family val="2"/>
        <scheme val="minor"/>
      </font>
      <fill>
        <patternFill patternType="solid">
          <fgColor indexed="64"/>
          <bgColor rgb="FFCADCF2"/>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rgb="FFCADCF2"/>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CADCF2"/>
        </patternFill>
      </fill>
      <alignment horizontal="right" vertical="bottom" textRotation="0" wrapText="0" indent="0" justifyLastLine="0" shrinkToFit="0" readingOrder="0"/>
      <border diagonalUp="0" diagonalDown="0">
        <left style="thick">
          <color indexed="64"/>
        </left>
        <right style="thin">
          <color indexed="64"/>
        </right>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CADCF2"/>
        </patternFill>
      </fill>
      <alignment horizontal="right" vertical="bottom" textRotation="0" wrapText="0" indent="0" justifyLastLine="0" shrinkToFit="0" readingOrder="0"/>
      <border diagonalUp="0" diagonalDown="0">
        <left style="thin">
          <color indexed="64"/>
        </left>
        <right style="thick">
          <color indexed="64"/>
        </right>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CADCF2"/>
        </patternFill>
      </fill>
      <alignment horizontal="right" vertical="bottom" textRotation="0" wrapText="0" indent="0" justifyLastLine="0" shrinkToFit="0" readingOrder="0"/>
      <border diagonalUp="0" diagonalDown="0">
        <left style="thick">
          <color indexed="64"/>
        </left>
        <right style="thin">
          <color indexed="64"/>
        </right>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CADCF2"/>
        </patternFill>
      </fill>
      <alignment horizontal="right" vertical="bottom" textRotation="0" wrapText="0" indent="0" justifyLastLine="0" shrinkToFit="0" readingOrder="0"/>
      <border diagonalUp="0" diagonalDown="0">
        <left style="thin">
          <color indexed="64"/>
        </left>
        <right style="thick">
          <color indexed="64"/>
        </right>
        <top/>
        <bottom/>
        <vertical/>
        <horizontal/>
      </border>
    </dxf>
    <dxf>
      <font>
        <b val="0"/>
        <i val="0"/>
        <strike val="0"/>
        <condense val="0"/>
        <extend val="0"/>
        <outline val="0"/>
        <shadow val="0"/>
        <u val="none"/>
        <vertAlign val="baseline"/>
        <sz val="12"/>
        <color theme="1"/>
        <name val="Calibri"/>
        <family val="2"/>
        <scheme val="minor"/>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rgb="FFCADCF2"/>
        </patternFill>
      </fill>
      <alignment horizontal="right" vertical="bottom" textRotation="0" wrapText="0" indent="0" justifyLastLine="0" shrinkToFit="0" readingOrder="0"/>
      <border diagonalUp="0" diagonalDown="0">
        <left style="thick">
          <color indexed="64"/>
        </left>
        <right style="thin">
          <color indexed="64"/>
        </right>
        <top/>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left style="thick">
          <color indexed="64"/>
        </left>
        <right style="thick">
          <color indexed="64"/>
        </right>
        <top/>
        <bottom/>
        <vertical/>
        <horizontal/>
      </border>
    </dxf>
    <dxf>
      <border outline="0">
        <bottom style="medium">
          <color indexed="64"/>
        </bottom>
      </border>
    </dxf>
    <dxf>
      <border outline="0">
        <right style="thick">
          <color indexed="64"/>
        </right>
        <top style="medium">
          <color indexed="64"/>
        </top>
        <bottom style="thick">
          <color indexed="64"/>
        </bottom>
      </border>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border diagonalUp="0" diagonalDown="0">
        <left style="medium">
          <color indexed="64"/>
        </left>
        <right style="medium">
          <color indexed="64"/>
        </right>
        <top/>
        <bottom/>
        <vertical/>
        <horizontal/>
      </border>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border outline="0">
        <bottom style="medium">
          <color indexed="64"/>
        </bottom>
      </border>
    </dxf>
    <dxf>
      <border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Calibri"/>
        <family val="2"/>
        <scheme val="minor"/>
      </font>
      <numFmt numFmtId="165" formatCode="0.0"/>
      <fill>
        <patternFill patternType="solid">
          <fgColor indexed="64"/>
          <bgColor theme="6" tint="0.7999816888943144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numFmt numFmtId="165" formatCode="0.0"/>
      <fill>
        <patternFill patternType="solid">
          <fgColor indexed="64"/>
          <bgColor theme="6" tint="0.7999816888943144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numFmt numFmtId="165" formatCode="0.0"/>
      <fill>
        <patternFill patternType="solid">
          <fgColor indexed="64"/>
          <bgColor theme="6" tint="0.7999816888943144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numFmt numFmtId="165" formatCode="0.0"/>
      <fill>
        <patternFill patternType="solid">
          <fgColor indexed="64"/>
          <bgColor rgb="FFCADCF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numFmt numFmtId="165" formatCode="0.0"/>
      <fill>
        <patternFill patternType="solid">
          <fgColor indexed="64"/>
          <bgColor rgb="FFCADCF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numFmt numFmtId="165" formatCode="0.0"/>
      <fill>
        <patternFill patternType="solid">
          <fgColor indexed="64"/>
          <bgColor rgb="FFCADCF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border outline="0">
        <left style="thick">
          <color indexed="64"/>
        </left>
        <right style="thick">
          <color indexed="64"/>
        </right>
        <top style="thick">
          <color indexed="64"/>
        </top>
        <bottom style="thick">
          <color indexed="64"/>
        </bottom>
      </border>
    </dxf>
    <dxf>
      <border>
        <bottom style="medium">
          <color indexed="64"/>
        </bottom>
      </border>
    </dxf>
    <dxf>
      <font>
        <b/>
        <i val="0"/>
        <strike val="0"/>
        <condense val="0"/>
        <extend val="0"/>
        <outline val="0"/>
        <shadow val="0"/>
        <u val="none"/>
        <vertAlign val="baseline"/>
        <sz val="12"/>
        <color auto="1"/>
        <name val="Calibri"/>
        <family val="2"/>
        <scheme val="minor"/>
      </font>
    </dxf>
    <dxf>
      <font>
        <b val="0"/>
        <i/>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border diagonalUp="0" diagonalDown="0">
        <left/>
        <right style="thick">
          <color indexed="64"/>
        </right>
        <top/>
        <bottom/>
        <vertical/>
        <horizontal/>
      </border>
    </dxf>
    <dxf>
      <border outline="0">
        <left style="thick">
          <color indexed="64"/>
        </left>
        <right style="thick">
          <color indexed="64"/>
        </right>
        <top style="thick">
          <color indexed="64"/>
        </top>
        <bottom style="thick">
          <color indexed="64"/>
        </bottom>
      </border>
    </dxf>
    <dxf>
      <border>
        <bottom style="medium">
          <color indexed="64"/>
        </bottom>
      </border>
    </dxf>
    <dxf>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border diagonalUp="0" diagonalDown="0">
        <left style="thin">
          <color indexed="64"/>
        </left>
        <right/>
        <top/>
        <bottom/>
      </border>
    </dxf>
    <dxf>
      <font>
        <b val="0"/>
        <i/>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border diagonalUp="0" diagonalDown="0">
        <left style="thin">
          <color indexed="64"/>
        </left>
        <right/>
        <top/>
        <bottom/>
      </border>
    </dxf>
    <dxf>
      <font>
        <b val="0"/>
        <i/>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border diagonalUp="0" diagonalDown="0">
        <left style="thin">
          <color indexed="64"/>
        </left>
        <right/>
        <top/>
        <bottom/>
      </border>
    </dxf>
    <dxf>
      <font>
        <b val="0"/>
        <i/>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border diagonalUp="0" diagonalDown="0">
        <left style="thin">
          <color indexed="64"/>
        </left>
        <right style="thin">
          <color indexed="64"/>
        </right>
        <top/>
        <bottom/>
      </border>
    </dxf>
    <dxf>
      <font>
        <b val="0"/>
        <i/>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border diagonalUp="0" diagonalDown="0">
        <left style="thin">
          <color indexed="64"/>
        </left>
        <right/>
        <top/>
        <bottom/>
      </border>
    </dxf>
    <dxf>
      <font>
        <b val="0"/>
        <i/>
        <strike val="0"/>
        <condense val="0"/>
        <extend val="0"/>
        <outline val="0"/>
        <shadow val="0"/>
        <u val="none"/>
        <vertAlign val="baseline"/>
        <sz val="12"/>
        <color auto="1"/>
        <name val="Calibri"/>
        <family val="2"/>
        <scheme val="none"/>
      </font>
      <alignment horizontal="right" vertical="bottom" textRotation="0" wrapText="0" indent="0" justifyLastLine="0" shrinkToFit="0" readingOrder="0"/>
      <border diagonalUp="0" diagonalDown="0">
        <left/>
        <right style="thin">
          <color indexed="64"/>
        </right>
        <top/>
        <bottom/>
      </border>
    </dxf>
    <dxf>
      <font>
        <b val="0"/>
        <i/>
        <strike val="0"/>
        <condense val="0"/>
        <extend val="0"/>
        <outline val="0"/>
        <shadow val="0"/>
        <u val="none"/>
        <vertAlign val="baseline"/>
        <sz val="12"/>
        <color auto="1"/>
        <name val="Calibri"/>
        <family val="2"/>
        <scheme val="none"/>
      </font>
      <alignment horizontal="left" vertical="bottom" textRotation="0" wrapText="0" indent="0" justifyLastLine="0" shrinkToFit="0" readingOrder="0"/>
      <border diagonalUp="0" diagonalDown="0">
        <left style="thin">
          <color indexed="64"/>
        </left>
        <right style="thin">
          <color indexed="64"/>
        </right>
        <top/>
        <bottom/>
      </border>
    </dxf>
    <dxf>
      <font>
        <strike val="0"/>
        <outline val="0"/>
        <shadow val="0"/>
        <u val="none"/>
        <vertAlign val="baseline"/>
        <sz val="12"/>
        <color theme="0"/>
        <name val="Calibri"/>
        <family val="2"/>
        <scheme val="none"/>
      </font>
      <fill>
        <patternFill patternType="solid">
          <fgColor indexed="64"/>
          <bgColor theme="0"/>
        </patternFill>
      </fill>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Calibri"/>
        <family val="2"/>
        <scheme val="none"/>
      </font>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alignment horizontal="left" vertical="bottom" textRotation="0" wrapText="0" indent="0" justifyLastLine="0" shrinkToFit="0" readingOrder="0"/>
    </dxf>
    <dxf>
      <font>
        <b/>
        <strike val="0"/>
        <outline val="0"/>
        <shadow val="0"/>
        <u val="none"/>
        <vertAlign val="baseline"/>
        <sz val="12"/>
        <color auto="1"/>
        <name val="Calibri"/>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center"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border diagonalUp="0" diagonalDown="0">
        <left style="medium">
          <color indexed="64"/>
        </left>
      </border>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right" vertical="bottom" textRotation="0" wrapText="0" indent="0" justifyLastLine="0" shrinkToFit="0" readingOrder="0"/>
      <border diagonalUp="0" diagonalDown="0">
        <left style="medium">
          <color indexed="64"/>
        </left>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bottom/>
      </border>
    </dxf>
    <dxf>
      <font>
        <strike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5" formatCode="0.0"/>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0.0"/>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0.0"/>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0.0"/>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5" formatCode="0.0"/>
      <fill>
        <patternFill patternType="solid">
          <fgColor indexed="64"/>
          <bgColor rgb="FFCADCF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none">
          <fgColor indexed="64"/>
          <bgColor indexed="65"/>
        </patternFill>
      </fill>
      <alignment horizontal="left" vertical="bottom" textRotation="0" wrapText="1" indent="0" justifyLastLine="0" shrinkToFit="0" readingOrder="0"/>
      <border diagonalUp="0" diagonalDown="0" outline="0">
        <left/>
        <right style="thin">
          <color indexed="64"/>
        </right>
        <top/>
        <bottom/>
      </border>
    </dxf>
    <dxf>
      <border outline="0">
        <left style="thick">
          <color indexed="64"/>
        </left>
        <right style="thick">
          <color indexed="64"/>
        </right>
        <top style="thick">
          <color indexed="64"/>
        </top>
        <bottom style="thick">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rgb="FFCADCF2"/>
        </patternFill>
      </fill>
      <alignment horizontal="right"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2"/>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theme="0"/>
        </patternFill>
      </fill>
      <alignment horizontal="right"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indexed="8"/>
        <name val="Calibri"/>
        <family val="2"/>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Calibri"/>
        <family val="2"/>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Calibri"/>
        <family val="2"/>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Calibri"/>
        <family val="2"/>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Calibri"/>
        <family val="2"/>
        <scheme val="minor"/>
      </font>
      <fill>
        <patternFill patternType="solid">
          <fgColor indexed="64"/>
          <bgColor rgb="FFCADCF2"/>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none">
          <fgColor indexed="64"/>
          <bgColor theme="0"/>
        </patternFill>
      </fill>
      <alignment horizontal="left" vertical="bottom" textRotation="0" wrapText="1" indent="0" justifyLastLine="0" shrinkToFit="0" readingOrder="0"/>
      <border diagonalUp="0" diagonalDown="0" outline="0">
        <left/>
        <right style="thin">
          <color indexed="64"/>
        </right>
        <top/>
        <bottom/>
      </border>
    </dxf>
    <dxf>
      <border outline="0">
        <left style="thick">
          <color indexed="64"/>
        </left>
        <right style="thick">
          <color indexed="64"/>
        </right>
        <top style="thick">
          <color indexed="64"/>
        </top>
        <bottom style="thick">
          <color indexed="64"/>
        </bottom>
      </border>
    </dxf>
    <dxf>
      <font>
        <b val="0"/>
        <i val="0"/>
        <strike val="0"/>
        <condense val="0"/>
        <extend val="0"/>
        <outline val="0"/>
        <shadow val="0"/>
        <u val="none"/>
        <vertAlign val="baseline"/>
        <sz val="12"/>
        <color indexed="8"/>
        <name val="Calibri"/>
        <family val="2"/>
        <scheme val="minor"/>
      </font>
      <fill>
        <patternFill patternType="solid">
          <fgColor indexed="64"/>
          <bgColor rgb="FFCADCF2"/>
        </patternFill>
      </fill>
      <alignment horizontal="right" vertical="center" textRotation="0" wrapText="0" indent="0" justifyLastLine="0" shrinkToFit="0" readingOrder="0"/>
    </dxf>
    <dxf>
      <border>
        <bottom style="medium">
          <color indexed="64"/>
        </bottom>
      </border>
    </dxf>
    <dxf>
      <font>
        <b/>
        <i val="0"/>
        <strike val="0"/>
        <condense val="0"/>
        <extend val="0"/>
        <outline val="0"/>
        <shadow val="0"/>
        <u val="none"/>
        <vertAlign val="baseline"/>
        <sz val="12"/>
        <color auto="1"/>
        <name val="Calibri"/>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sz val="12"/>
        <name val="Calibri"/>
        <scheme val="minor"/>
      </font>
      <fill>
        <patternFill>
          <fgColor indexed="64"/>
          <bgColor rgb="FFCADCF2"/>
        </patternFill>
      </fill>
      <alignment horizontal="right" textRotation="0" indent="0" justifyLastLine="0" shrinkToFit="0" readingOrder="0"/>
    </dxf>
    <dxf>
      <font>
        <strike val="0"/>
        <outline val="0"/>
        <shadow val="0"/>
        <sz val="12"/>
        <name val="Calibri"/>
        <scheme val="minor"/>
      </font>
      <fill>
        <patternFill>
          <fgColor indexed="64"/>
          <bgColor rgb="FFCADCF2"/>
        </patternFill>
      </fill>
      <alignment horizontal="right" textRotation="0" indent="0" justifyLastLine="0" shrinkToFit="0" readingOrder="0"/>
    </dxf>
    <dxf>
      <font>
        <strike val="0"/>
        <outline val="0"/>
        <shadow val="0"/>
        <sz val="12"/>
        <name val="Calibri"/>
        <scheme val="minor"/>
      </font>
      <fill>
        <patternFill>
          <fgColor indexed="64"/>
          <bgColor rgb="FFCADCF2"/>
        </patternFill>
      </fill>
      <alignment horizontal="right" textRotation="0" indent="0" justifyLastLine="0" shrinkToFit="0" readingOrder="0"/>
    </dxf>
    <dxf>
      <font>
        <strike val="0"/>
        <outline val="0"/>
        <shadow val="0"/>
        <sz val="12"/>
        <name val="Calibri"/>
        <scheme val="minor"/>
      </font>
      <fill>
        <patternFill>
          <fgColor indexed="64"/>
          <bgColor rgb="FFCADCF2"/>
        </patternFill>
      </fill>
      <alignment horizontal="right" textRotation="0" indent="0" justifyLastLine="0" shrinkToFit="0" readingOrder="0"/>
    </dxf>
    <dxf>
      <font>
        <strike val="0"/>
        <outline val="0"/>
        <shadow val="0"/>
        <sz val="12"/>
        <name val="Calibri"/>
        <scheme val="minor"/>
      </font>
      <fill>
        <patternFill>
          <fgColor indexed="64"/>
          <bgColor rgb="FFCADCF2"/>
        </patternFill>
      </fill>
      <alignment horizontal="right" textRotation="0" indent="0" justifyLastLine="0" shrinkToFit="0" readingOrder="0"/>
    </dxf>
    <dxf>
      <font>
        <b val="0"/>
        <i val="0"/>
        <strike val="0"/>
        <condense val="0"/>
        <extend val="0"/>
        <outline val="0"/>
        <shadow val="0"/>
        <u val="none"/>
        <vertAlign val="baseline"/>
        <sz val="12"/>
        <color indexed="8"/>
        <name val="Calibri"/>
        <scheme val="minor"/>
      </font>
      <numFmt numFmtId="164" formatCode="###0"/>
      <fill>
        <patternFill patternType="none">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Calibri"/>
        <family val="2"/>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Calibri"/>
        <family val="2"/>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Calibri"/>
        <family val="2"/>
        <scheme val="minor"/>
      </font>
      <fill>
        <patternFill patternType="solid">
          <fgColor indexed="64"/>
          <bgColor rgb="FFCADCF2"/>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indexed="8"/>
        <name val="Calibri"/>
        <scheme val="minor"/>
      </font>
      <fill>
        <patternFill patternType="solid">
          <fgColor indexed="64"/>
          <bgColor theme="0"/>
        </patternFill>
      </fill>
      <alignment horizontal="left" vertical="center" textRotation="0" wrapText="0" indent="0" justifyLastLine="0" shrinkToFit="0" readingOrder="0"/>
    </dxf>
    <dxf>
      <border diagonalUp="0" diagonalDown="0">
        <left style="thick">
          <color indexed="64"/>
        </left>
        <right style="thick">
          <color indexed="64"/>
        </right>
        <top style="thick">
          <color indexed="64"/>
        </top>
        <bottom style="thick">
          <color indexed="64"/>
        </bottom>
      </border>
    </dxf>
    <dxf>
      <font>
        <strike val="0"/>
        <outline val="0"/>
        <shadow val="0"/>
        <sz val="12"/>
        <name val="Calibri"/>
        <scheme val="minor"/>
      </font>
    </dxf>
    <dxf>
      <border>
        <bottom style="medium">
          <color indexed="64"/>
        </bottom>
      </border>
    </dxf>
    <dxf>
      <font>
        <strike val="0"/>
        <outline val="0"/>
        <shadow val="0"/>
        <sz val="12"/>
        <name val="Calibri"/>
        <scheme val="minor"/>
      </font>
    </dxf>
    <dxf>
      <font>
        <strike val="0"/>
        <outline val="0"/>
        <shadow val="0"/>
        <vertAlign val="baseline"/>
        <sz val="12"/>
        <name val="Calibri"/>
        <scheme val="minor"/>
      </font>
      <fill>
        <patternFill>
          <fgColor indexed="64"/>
          <bgColor rgb="FFCADCF2"/>
        </patternFill>
      </fill>
      <alignment horizontal="right" vertical="bottom" textRotation="0" wrapText="0" indent="0" justifyLastLine="0" shrinkToFit="0" readingOrder="0"/>
      <border diagonalUp="0" diagonalDown="0">
        <left/>
        <right style="medium">
          <color indexed="64"/>
        </right>
        <vertical/>
      </border>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border diagonalUp="0" diagonalDown="0" outline="0">
        <left/>
        <right style="medium">
          <color indexed="64"/>
        </right>
        <top/>
        <bottom/>
      </border>
    </dxf>
    <dxf>
      <font>
        <strike val="0"/>
        <outline val="0"/>
        <shadow val="0"/>
        <vertAlign val="baseline"/>
        <sz val="12"/>
        <name val="Calibri"/>
        <scheme val="minor"/>
      </font>
      <fill>
        <patternFill>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strike val="0"/>
        <outline val="0"/>
        <shadow val="0"/>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vertAlign val="baseline"/>
        <sz val="12"/>
        <name val="Calibri"/>
        <scheme val="minor"/>
      </font>
      <fill>
        <patternFill>
          <fgColor indexed="64"/>
          <bgColor rgb="FFCADCF2"/>
        </patternFill>
      </fill>
      <alignment horizontal="right" vertical="bottom" textRotation="0" wrapText="0" indent="0" justifyLastLine="0" shrinkToFit="0" readingOrder="0"/>
    </dxf>
    <dxf>
      <font>
        <strike val="0"/>
        <outline val="0"/>
        <shadow val="0"/>
        <vertAlign val="baseline"/>
        <sz val="12"/>
        <name val="Calibri"/>
        <scheme val="minor"/>
      </font>
      <fill>
        <patternFill>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vertical/>
      </border>
    </dxf>
    <dxf>
      <font>
        <strike val="0"/>
        <outline val="0"/>
        <shadow val="0"/>
        <vertAlign val="baseline"/>
        <sz val="12"/>
        <name val="Calibri"/>
        <scheme val="minor"/>
      </font>
      <fill>
        <patternFill patternType="none">
          <fgColor indexed="64"/>
          <bgColor indexed="65"/>
        </patternFill>
      </fill>
    </dxf>
    <dxf>
      <border diagonalUp="0" diagonalDown="0">
        <left style="thick">
          <color indexed="64"/>
        </left>
        <right style="thick">
          <color indexed="64"/>
        </right>
        <top style="thick">
          <color indexed="64"/>
        </top>
        <bottom style="thick">
          <color indexed="64"/>
        </bottom>
      </border>
    </dxf>
    <dxf>
      <font>
        <strike val="0"/>
        <outline val="0"/>
        <shadow val="0"/>
        <vertAlign val="baseline"/>
        <sz val="12"/>
        <name val="Calibri"/>
        <scheme val="minor"/>
      </font>
    </dxf>
    <dxf>
      <border>
        <bottom style="medium">
          <color indexed="64"/>
        </bottom>
      </border>
    </dxf>
    <dxf>
      <font>
        <strike val="0"/>
        <outline val="0"/>
        <shadow val="0"/>
        <vertAlign val="baseline"/>
        <sz val="12"/>
        <name val="Calibri"/>
        <scheme val="minor"/>
      </font>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i val="0"/>
      </font>
      <alignment horizontal="right" vertical="bottom" textRotation="0" wrapText="0" indent="0" justifyLastLine="0" shrinkToFit="0" readingOrder="0"/>
    </dxf>
    <dxf>
      <font>
        <i val="0"/>
      </font>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i val="0"/>
      </font>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righ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border>
        <bottom style="medium">
          <color indexed="64"/>
        </bottom>
      </border>
    </dxf>
    <dxf>
      <font>
        <b val="0"/>
        <i val="0"/>
        <strike val="0"/>
        <condense val="0"/>
        <extend val="0"/>
        <outline val="0"/>
        <shadow val="0"/>
        <u val="none"/>
        <vertAlign val="baseline"/>
        <sz val="12"/>
        <color auto="1"/>
        <name val="Calibri"/>
        <family val="2"/>
        <scheme val="minor"/>
      </font>
    </dxf>
    <dxf>
      <font>
        <strike val="0"/>
        <outline val="0"/>
        <shadow val="0"/>
        <vertAlign val="baseline"/>
        <sz val="12"/>
        <name val="Calibri"/>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center" textRotation="0" wrapText="0" indent="0" justifyLastLine="0" shrinkToFit="0" readingOrder="0"/>
    </dxf>
    <dxf>
      <font>
        <strike val="0"/>
        <outline val="0"/>
        <shadow val="0"/>
        <vertAlign val="baseline"/>
        <sz val="12"/>
        <name val="Calibri"/>
        <scheme val="minor"/>
      </font>
      <fill>
        <patternFill patternType="solid">
          <fgColor indexed="64"/>
          <bgColor rgb="FFCADCF2"/>
        </patternFill>
      </fill>
      <alignment horizontal="right" vertical="center" textRotation="0" wrapText="0" indent="0" justifyLastLine="0" shrinkToFit="0" readingOrder="0"/>
    </dxf>
    <dxf>
      <font>
        <strike val="0"/>
        <outline val="0"/>
        <shadow val="0"/>
        <vertAlign val="baseline"/>
        <sz val="12"/>
        <name val="Calibri"/>
        <scheme val="minor"/>
      </font>
      <fill>
        <patternFill patternType="solid">
          <fgColor indexed="64"/>
          <bgColor rgb="FFCADCF2"/>
        </patternFill>
      </fill>
      <alignment horizontal="right" vertical="center" textRotation="0" wrapText="0" indent="0" justifyLastLine="0" shrinkToFit="0" readingOrder="0"/>
    </dxf>
    <dxf>
      <font>
        <strike val="0"/>
        <outline val="0"/>
        <shadow val="0"/>
        <vertAlign val="baseline"/>
        <sz val="12"/>
        <name val="Calibri"/>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center" textRotation="0" wrapText="0" indent="0" justifyLastLine="0" shrinkToFit="0" readingOrder="0"/>
      <border diagonalUp="0" diagonalDown="0">
        <left style="thin">
          <color indexed="64"/>
        </left>
        <right/>
        <vertical/>
      </border>
    </dxf>
    <dxf>
      <font>
        <strike val="0"/>
        <outline val="0"/>
        <shadow val="0"/>
        <vertAlign val="baseline"/>
        <sz val="12"/>
        <name val="Calibri"/>
        <scheme val="minor"/>
      </font>
      <fill>
        <patternFill patternType="solid">
          <fgColor indexed="64"/>
          <bgColor theme="0"/>
        </patternFill>
      </fill>
      <alignment horizontal="general" vertical="center" textRotation="0" wrapText="0" indent="0" justifyLastLine="0" shrinkToFit="0" readingOrder="0"/>
    </dxf>
    <dxf>
      <border diagonalUp="0" diagonalDown="0">
        <left style="thick">
          <color indexed="64"/>
        </left>
        <right style="thick">
          <color indexed="64"/>
        </right>
        <top style="thick">
          <color indexed="64"/>
        </top>
        <bottom style="thick">
          <color indexed="64"/>
        </bottom>
      </border>
    </dxf>
    <dxf>
      <font>
        <strike val="0"/>
        <outline val="0"/>
        <shadow val="0"/>
        <vertAlign val="baseline"/>
        <sz val="12"/>
        <name val="Calibri"/>
        <scheme val="minor"/>
      </font>
    </dxf>
    <dxf>
      <border>
        <bottom style="medium">
          <color indexed="64"/>
        </bottom>
      </border>
    </dxf>
    <dxf>
      <font>
        <strike val="0"/>
        <outline val="0"/>
        <shadow val="0"/>
        <vertAlign val="baseline"/>
        <sz val="12"/>
        <name val="Calibri"/>
        <scheme val="minor"/>
      </font>
    </dxf>
    <dxf>
      <font>
        <b/>
        <i val="0"/>
        <strike val="0"/>
        <condense val="0"/>
        <extend val="0"/>
        <outline val="0"/>
        <shadow val="0"/>
        <u val="none"/>
        <vertAlign val="baseline"/>
        <sz val="12"/>
        <color indexed="8"/>
        <name val="Calibri"/>
        <family val="2"/>
        <scheme val="minor"/>
      </font>
      <numFmt numFmtId="164"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medium">
          <color indexed="64"/>
        </right>
        <top/>
        <bottom/>
        <vertical/>
        <horizontal/>
      </border>
    </dxf>
    <dxf>
      <font>
        <b/>
        <strike val="0"/>
        <outline val="0"/>
        <shadow val="0"/>
        <u val="none"/>
        <vertAlign val="baseline"/>
        <sz val="12"/>
        <name val="Calibri"/>
        <scheme val="minor"/>
      </font>
      <alignment horizontal="left" vertical="bottom" textRotation="0" indent="0" justifyLastLine="0" shrinkToFit="0" readingOrder="0"/>
      <border diagonalUp="0" diagonalDown="0" outline="0">
        <left/>
        <right style="thick">
          <color indexed="64"/>
        </right>
        <top/>
        <bottom/>
      </border>
    </dxf>
    <dxf>
      <border diagonalUp="0" diagonalDown="0">
        <left style="thick">
          <color indexed="64"/>
        </left>
        <right style="thick">
          <color indexed="64"/>
        </right>
        <top style="thick">
          <color indexed="64"/>
        </top>
        <bottom style="thick">
          <color indexed="64"/>
        </bottom>
      </border>
    </dxf>
    <dxf>
      <font>
        <strike val="0"/>
        <outline val="0"/>
        <shadow val="0"/>
        <u val="none"/>
        <vertAlign val="baseline"/>
        <sz val="12"/>
        <name val="Calibri"/>
        <scheme val="minor"/>
      </font>
    </dxf>
    <dxf>
      <font>
        <b/>
        <i val="0"/>
        <strike val="0"/>
        <condense val="0"/>
        <extend val="0"/>
        <outline val="0"/>
        <shadow val="0"/>
        <u val="none"/>
        <vertAlign val="baseline"/>
        <sz val="12"/>
        <color indexed="8"/>
        <name val="Calibri"/>
        <scheme val="minor"/>
      </font>
      <fill>
        <patternFill patternType="solid">
          <fgColor indexed="64"/>
          <bgColor theme="0" tint="-4.9989318521683403E-2"/>
        </patternFill>
      </fill>
      <alignment horizontal="center" vertical="bottom" textRotation="0" wrapText="1" indent="0" justifyLastLine="0" shrinkToFit="0" readingOrder="0"/>
      <border diagonalUp="0" diagonalDown="0" outline="0">
        <left/>
        <right/>
        <top/>
        <bottom/>
      </border>
    </dxf>
    <dxf>
      <font>
        <b val="0"/>
        <i/>
        <strike val="0"/>
        <condense val="0"/>
        <extend val="0"/>
        <outline val="0"/>
        <shadow val="0"/>
        <u val="none"/>
        <vertAlign val="baseline"/>
        <sz val="12"/>
        <color auto="1"/>
        <name val="Calibri"/>
        <family val="2"/>
        <scheme val="minor"/>
      </font>
      <numFmt numFmtId="165" formatCode="0.0"/>
      <fill>
        <patternFill patternType="solid">
          <fgColor indexed="64"/>
          <bgColor rgb="FFCADCF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numFmt numFmtId="165" formatCode="0.0"/>
      <fill>
        <patternFill patternType="solid">
          <fgColor indexed="64"/>
          <bgColor rgb="FFCADCF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numFmt numFmtId="165" formatCode="0.0"/>
      <fill>
        <patternFill patternType="solid">
          <fgColor indexed="64"/>
          <bgColor rgb="FFCADCF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center" textRotation="0" wrapText="0" indent="0" justifyLastLine="0" shrinkToFit="0" readingOrder="0"/>
    </dxf>
    <dxf>
      <font>
        <b val="0"/>
        <i/>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center" textRotation="0" wrapText="0" indent="0" justifyLastLine="0" shrinkToFit="0" readingOrder="0"/>
    </dxf>
    <dxf>
      <font>
        <b val="0"/>
        <i/>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border outline="0">
        <left style="thick">
          <color indexed="64"/>
        </left>
        <right style="thick">
          <color indexed="64"/>
        </right>
        <top style="thick">
          <color indexed="64"/>
        </top>
        <bottom style="thick">
          <color indexed="64"/>
        </bottom>
      </border>
    </dxf>
    <dxf>
      <border>
        <bottom style="medium">
          <color indexed="64"/>
        </bottom>
      </border>
    </dxf>
    <dxf>
      <font>
        <b/>
        <i val="0"/>
        <strike val="0"/>
        <condense val="0"/>
        <extend val="0"/>
        <outline val="0"/>
        <shadow val="0"/>
        <u val="none"/>
        <vertAlign val="baseline"/>
        <sz val="12"/>
        <color auto="1"/>
        <name val="Calibri"/>
        <family val="2"/>
        <scheme val="minor"/>
      </font>
    </dxf>
    <dxf>
      <font>
        <b val="0"/>
        <i/>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numFmt numFmtId="0" formatCode="General"/>
      <alignment horizontal="righ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strike val="0"/>
        <outline val="0"/>
        <shadow val="0"/>
        <vertAlign val="baseline"/>
        <sz val="12"/>
        <name val="Calibri"/>
        <family val="2"/>
        <scheme val="minor"/>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Calibri"/>
        <family val="2"/>
        <scheme val="minor"/>
      </font>
      <fill>
        <patternFill patternType="solid">
          <fgColor indexed="64"/>
          <bgColor rgb="FFCADCF2"/>
        </patternFill>
      </fill>
      <alignment horizontal="righ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Calibri"/>
        <family val="2"/>
        <scheme val="minor"/>
      </font>
    </dxf>
    <dxf>
      <font>
        <i val="0"/>
        <strike val="0"/>
        <outline val="0"/>
        <shadow val="0"/>
        <u val="none"/>
        <vertAlign val="baseline"/>
        <sz val="12"/>
        <color auto="1"/>
        <name val="Calibri"/>
        <family val="2"/>
        <scheme val="none"/>
      </font>
      <fill>
        <patternFill patternType="solid">
          <fgColor indexed="64"/>
          <bgColor rgb="FFFFFF00"/>
        </patternFill>
      </fill>
      <alignment horizontal="right" textRotation="0" wrapText="0" indent="0" justifyLastLine="0" shrinkToFit="0" readingOrder="0"/>
    </dxf>
    <dxf>
      <font>
        <i val="0"/>
        <strike val="0"/>
        <outline val="0"/>
        <shadow val="0"/>
        <u val="none"/>
        <vertAlign val="baseline"/>
        <sz val="12"/>
        <color auto="1"/>
        <name val="Calibri"/>
        <family val="2"/>
        <scheme val="none"/>
      </font>
      <alignment horizontal="right" textRotation="0" wrapText="0" indent="0" justifyLastLine="0" shrinkToFit="0" readingOrder="0"/>
    </dxf>
    <dxf>
      <font>
        <i val="0"/>
        <strike val="0"/>
        <outline val="0"/>
        <shadow val="0"/>
        <u val="none"/>
        <vertAlign val="baseline"/>
        <sz val="12"/>
        <color auto="1"/>
        <name val="Calibri"/>
        <family val="2"/>
        <scheme val="none"/>
      </font>
      <alignment horizontal="right" textRotation="0" wrapText="0" indent="0" justifyLastLine="0" shrinkToFit="0" readingOrder="0"/>
    </dxf>
    <dxf>
      <font>
        <i val="0"/>
        <strike val="0"/>
        <outline val="0"/>
        <shadow val="0"/>
        <u val="none"/>
        <vertAlign val="baseline"/>
        <sz val="12"/>
        <color auto="1"/>
        <name val="Calibri"/>
        <family val="2"/>
        <scheme val="none"/>
      </font>
      <alignment horizontal="right" textRotation="0" wrapText="0" indent="0" justifyLastLine="0" shrinkToFit="0" readingOrder="0"/>
    </dxf>
    <dxf>
      <font>
        <i val="0"/>
        <strike val="0"/>
        <outline val="0"/>
        <shadow val="0"/>
        <u val="none"/>
        <vertAlign val="baseline"/>
        <sz val="12"/>
        <color auto="1"/>
        <name val="Calibri"/>
        <family val="2"/>
        <scheme val="none"/>
      </font>
      <alignment horizontal="right"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i val="0"/>
        <strike val="0"/>
        <outline val="0"/>
        <shadow val="0"/>
        <u val="none"/>
        <vertAlign val="baseline"/>
        <sz val="12"/>
        <color auto="1"/>
        <name val="Calibri"/>
        <family val="2"/>
        <scheme val="none"/>
      </font>
      <alignment horizontal="right" textRotation="0" wrapText="0" indent="0" justifyLastLine="0" shrinkToFit="0" readingOrder="0"/>
    </dxf>
    <dxf>
      <font>
        <i val="0"/>
        <strike val="0"/>
        <outline val="0"/>
        <shadow val="0"/>
        <u val="none"/>
        <vertAlign val="baseline"/>
        <sz val="12"/>
        <color auto="1"/>
        <name val="Calibri"/>
        <family val="2"/>
        <scheme val="none"/>
      </font>
      <alignment horizontal="right" textRotation="0" wrapText="0" indent="0" justifyLastLine="0" shrinkToFit="0" readingOrder="0"/>
    </dxf>
    <dxf>
      <font>
        <i val="0"/>
        <strike val="0"/>
        <outline val="0"/>
        <shadow val="0"/>
        <u val="none"/>
        <vertAlign val="baseline"/>
        <sz val="12"/>
        <color auto="1"/>
        <name val="Calibri"/>
        <family val="2"/>
        <scheme val="none"/>
      </font>
      <alignment horizontal="right" textRotation="0" wrapText="0" indent="0" justifyLastLine="0" shrinkToFit="0" readingOrder="0"/>
    </dxf>
    <dxf>
      <font>
        <i val="0"/>
        <strike val="0"/>
        <outline val="0"/>
        <shadow val="0"/>
        <u val="none"/>
        <vertAlign val="baseline"/>
        <sz val="12"/>
        <color auto="1"/>
        <name val="Calibri"/>
        <family val="2"/>
        <scheme val="none"/>
      </font>
      <alignment horizontal="right" textRotation="0" wrapText="0" indent="0" justifyLastLine="0" shrinkToFit="0" readingOrder="0"/>
    </dxf>
    <dxf>
      <font>
        <i val="0"/>
        <strike val="0"/>
        <outline val="0"/>
        <shadow val="0"/>
        <u val="none"/>
        <vertAlign val="baseline"/>
        <sz val="12"/>
        <color auto="1"/>
        <name val="Calibri"/>
        <family val="2"/>
        <scheme val="none"/>
      </font>
      <alignment horizontal="right"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i val="0"/>
        <strike val="0"/>
        <outline val="0"/>
        <shadow val="0"/>
        <u val="none"/>
        <vertAlign val="baseline"/>
        <sz val="12"/>
        <color auto="1"/>
        <name val="Calibri"/>
        <family val="2"/>
        <scheme val="none"/>
      </font>
      <fill>
        <patternFill patternType="solid">
          <fgColor indexed="64"/>
          <bgColor rgb="FFCADCF2"/>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none"/>
      </font>
      <alignment horizontal="left" vertical="bottom" textRotation="0" wrapText="0" indent="0" justifyLastLine="0" shrinkToFit="0" readingOrder="0"/>
      <border diagonalUp="0" diagonalDown="0">
        <left style="thin">
          <color indexed="64"/>
        </left>
        <right/>
        <top/>
        <bottom/>
      </border>
    </dxf>
    <dxf>
      <font>
        <strike val="0"/>
        <outline val="0"/>
        <shadow val="0"/>
        <u val="none"/>
        <vertAlign val="baseline"/>
        <sz val="12"/>
        <color auto="1"/>
        <name val="Calibri"/>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color auto="1"/>
        <name val="Calibri"/>
        <family val="2"/>
        <scheme val="none"/>
      </font>
    </dxf>
    <dxf>
      <border>
        <bottom style="medium">
          <color indexed="64"/>
        </bottom>
      </border>
    </dxf>
    <dxf>
      <font>
        <b/>
        <i val="0"/>
        <strike val="0"/>
        <condense val="0"/>
        <extend val="0"/>
        <outline val="0"/>
        <shadow val="0"/>
        <u val="none"/>
        <vertAlign val="baseline"/>
        <sz val="12"/>
        <color auto="1"/>
        <name val="Calibri"/>
        <family val="2"/>
        <scheme val="none"/>
      </font>
      <alignment horizontal="general" vertical="bottom" textRotation="0" wrapText="0" indent="0" justifyLastLine="0" shrinkToFit="0" readingOrder="0"/>
    </dxf>
    <dxf>
      <font>
        <strike val="0"/>
        <outline val="0"/>
        <shadow val="0"/>
        <vertAlign val="baseline"/>
        <sz val="12"/>
        <name val="Calibri"/>
        <family val="2"/>
        <scheme val="none"/>
      </font>
      <border diagonalUp="0" diagonalDown="0" outline="0">
        <left style="thin">
          <color rgb="FF000000"/>
        </left>
        <right style="thin">
          <color indexed="64"/>
        </right>
        <top style="thin">
          <color rgb="FF000000"/>
        </top>
        <bottom style="thin">
          <color rgb="FF000000"/>
        </bottom>
      </border>
    </dxf>
    <dxf>
      <font>
        <strike val="0"/>
        <outline val="0"/>
        <shadow val="0"/>
        <vertAlign val="baseline"/>
        <sz val="12"/>
        <name val="Calibri"/>
        <family val="2"/>
        <scheme val="none"/>
      </font>
    </dxf>
    <dxf>
      <font>
        <strike val="0"/>
        <outline val="0"/>
        <shadow val="0"/>
        <vertAlign val="baseline"/>
        <sz val="12"/>
        <name val="Calibri"/>
        <family val="2"/>
        <scheme val="none"/>
      </font>
    </dxf>
    <dxf>
      <border>
        <bottom style="thin">
          <color indexed="64"/>
        </bottom>
      </border>
    </dxf>
    <dxf>
      <font>
        <strike val="0"/>
        <outline val="0"/>
        <shadow val="0"/>
        <u val="none"/>
        <vertAlign val="baseline"/>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Calibri"/>
        <scheme val="minor"/>
      </font>
      <fill>
        <patternFill>
          <fgColor indexed="64"/>
          <bgColor rgb="FFCADCF2"/>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fill>
        <patternFill patternType="solid">
          <fgColor indexed="64"/>
          <bgColor rgb="FFCADCF2"/>
        </patternFill>
      </fill>
    </dxf>
    <dxf>
      <font>
        <b val="0"/>
        <i val="0"/>
        <strike val="0"/>
        <outline val="0"/>
        <shadow val="0"/>
        <u val="none"/>
        <vertAlign val="baseline"/>
        <sz val="12"/>
        <color auto="1"/>
        <name val="Calibri"/>
        <scheme val="minor"/>
      </font>
      <fill>
        <patternFill>
          <fgColor indexed="64"/>
          <bgColor rgb="FFCADCF2"/>
        </patternFill>
      </fill>
    </dxf>
    <dxf>
      <font>
        <b val="0"/>
        <strike val="0"/>
        <outline val="0"/>
        <shadow val="0"/>
        <u val="none"/>
        <vertAlign val="baseline"/>
        <sz val="12"/>
        <color theme="1"/>
      </font>
    </dxf>
  </dxfs>
  <tableStyles count="0" defaultTableStyle="TableStyleMedium9" defaultPivotStyle="PivotStyleLight16"/>
  <colors>
    <mruColors>
      <color rgb="FFE2EAA4"/>
      <color rgb="FFECF1AD"/>
      <color rgb="FF0000FF"/>
      <color rgb="FFDDDDDD"/>
      <color rgb="FFEAEAEA"/>
      <color rgb="FFECF7AD"/>
      <color rgb="FFCADCF2"/>
      <color rgb="FFB4C7E7"/>
      <color rgb="FF9DC3E6"/>
      <color rgb="FFC6AF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0</xdr:col>
      <xdr:colOff>9721850</xdr:colOff>
      <xdr:row>14</xdr:row>
      <xdr:rowOff>50800</xdr:rowOff>
    </xdr:from>
    <xdr:ext cx="853263" cy="874678"/>
    <xdr:pic>
      <xdr:nvPicPr>
        <xdr:cNvPr id="4" name="Picture 3" descr="Accredited Official Statistics badge">
          <a:extLst>
            <a:ext uri="{FF2B5EF4-FFF2-40B4-BE49-F238E27FC236}">
              <a16:creationId xmlns:a16="http://schemas.microsoft.com/office/drawing/2014/main" id="{48C0A29E-A3A2-44AE-B9A7-4DA8E4B12FBF}"/>
            </a:ext>
          </a:extLst>
        </xdr:cNvPr>
        <xdr:cNvPicPr>
          <a:picLocks noChangeAspect="1"/>
        </xdr:cNvPicPr>
      </xdr:nvPicPr>
      <xdr:blipFill>
        <a:blip xmlns:r="http://schemas.openxmlformats.org/officeDocument/2006/relationships" r:embed="rId1"/>
        <a:stretch>
          <a:fillRect/>
        </a:stretch>
      </xdr:blipFill>
      <xdr:spPr>
        <a:xfrm>
          <a:off x="9721850" y="4616450"/>
          <a:ext cx="853263" cy="874678"/>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15240</xdr:rowOff>
    </xdr:from>
    <xdr:to>
      <xdr:col>12</xdr:col>
      <xdr:colOff>358805</xdr:colOff>
      <xdr:row>26</xdr:row>
      <xdr:rowOff>76541</xdr:rowOff>
    </xdr:to>
    <xdr:pic>
      <xdr:nvPicPr>
        <xdr:cNvPr id="3" name="Picture 2" descr="Line chart showing the number of suicides registered each year, a 3 year average and shading showing the minimum and maximum of the 3 year average">
          <a:extLst>
            <a:ext uri="{FF2B5EF4-FFF2-40B4-BE49-F238E27FC236}">
              <a16:creationId xmlns:a16="http://schemas.microsoft.com/office/drawing/2014/main" id="{373C6DBB-5095-5F1E-E48C-3B36B6C80510}"/>
            </a:ext>
          </a:extLst>
        </xdr:cNvPr>
        <xdr:cNvPicPr>
          <a:picLocks noChangeAspect="1"/>
        </xdr:cNvPicPr>
      </xdr:nvPicPr>
      <xdr:blipFill>
        <a:blip xmlns:r="http://schemas.openxmlformats.org/officeDocument/2006/relationships" r:embed="rId1"/>
        <a:stretch>
          <a:fillRect/>
        </a:stretch>
      </xdr:blipFill>
      <xdr:spPr>
        <a:xfrm>
          <a:off x="0" y="670560"/>
          <a:ext cx="7674005" cy="39322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7621</xdr:colOff>
      <xdr:row>3</xdr:row>
      <xdr:rowOff>38101</xdr:rowOff>
    </xdr:from>
    <xdr:to>
      <xdr:col>11</xdr:col>
      <xdr:colOff>601981</xdr:colOff>
      <xdr:row>21</xdr:row>
      <xdr:rowOff>32775</xdr:rowOff>
    </xdr:to>
    <xdr:pic>
      <xdr:nvPicPr>
        <xdr:cNvPr id="4" name="Picture 3" descr="bar chart showing the number of suicides by sex">
          <a:extLst>
            <a:ext uri="{FF2B5EF4-FFF2-40B4-BE49-F238E27FC236}">
              <a16:creationId xmlns:a16="http://schemas.microsoft.com/office/drawing/2014/main" id="{4D79F510-29A5-80B1-8975-893F110720C0}"/>
            </a:ext>
          </a:extLst>
        </xdr:cNvPr>
        <xdr:cNvPicPr>
          <a:picLocks noChangeAspect="1"/>
        </xdr:cNvPicPr>
      </xdr:nvPicPr>
      <xdr:blipFill>
        <a:blip xmlns:r="http://schemas.openxmlformats.org/officeDocument/2006/relationships" r:embed="rId1"/>
        <a:stretch>
          <a:fillRect/>
        </a:stretch>
      </xdr:blipFill>
      <xdr:spPr>
        <a:xfrm>
          <a:off x="7621" y="731521"/>
          <a:ext cx="7299960" cy="30121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45720</xdr:rowOff>
    </xdr:from>
    <xdr:to>
      <xdr:col>12</xdr:col>
      <xdr:colOff>419770</xdr:colOff>
      <xdr:row>25</xdr:row>
      <xdr:rowOff>15542</xdr:rowOff>
    </xdr:to>
    <xdr:pic>
      <xdr:nvPicPr>
        <xdr:cNvPr id="4" name="Picture 3" descr="Line chart showing the crude mortality rate by marital status">
          <a:extLst>
            <a:ext uri="{FF2B5EF4-FFF2-40B4-BE49-F238E27FC236}">
              <a16:creationId xmlns:a16="http://schemas.microsoft.com/office/drawing/2014/main" id="{DA44D81D-9C71-3F94-7ED5-D8FDF105C8B4}"/>
            </a:ext>
          </a:extLst>
        </xdr:cNvPr>
        <xdr:cNvPicPr>
          <a:picLocks noChangeAspect="1"/>
        </xdr:cNvPicPr>
      </xdr:nvPicPr>
      <xdr:blipFill>
        <a:blip xmlns:r="http://schemas.openxmlformats.org/officeDocument/2006/relationships" r:embed="rId1"/>
        <a:stretch>
          <a:fillRect/>
        </a:stretch>
      </xdr:blipFill>
      <xdr:spPr>
        <a:xfrm>
          <a:off x="0" y="944880"/>
          <a:ext cx="7734970" cy="34902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xdr:colOff>
      <xdr:row>3</xdr:row>
      <xdr:rowOff>175260</xdr:rowOff>
    </xdr:from>
    <xdr:to>
      <xdr:col>11</xdr:col>
      <xdr:colOff>560699</xdr:colOff>
      <xdr:row>24</xdr:row>
      <xdr:rowOff>75743</xdr:rowOff>
    </xdr:to>
    <xdr:pic>
      <xdr:nvPicPr>
        <xdr:cNvPr id="4" name="Picture 3" descr="Line chart showing age standardised mortality rate by sex">
          <a:extLst>
            <a:ext uri="{FF2B5EF4-FFF2-40B4-BE49-F238E27FC236}">
              <a16:creationId xmlns:a16="http://schemas.microsoft.com/office/drawing/2014/main" id="{25F60AD1-8A46-0336-D451-48616AAE42B7}"/>
            </a:ext>
          </a:extLst>
        </xdr:cNvPr>
        <xdr:cNvPicPr>
          <a:picLocks noChangeAspect="1"/>
        </xdr:cNvPicPr>
      </xdr:nvPicPr>
      <xdr:blipFill>
        <a:blip xmlns:r="http://schemas.openxmlformats.org/officeDocument/2006/relationships" r:embed="rId1"/>
        <a:stretch>
          <a:fillRect/>
        </a:stretch>
      </xdr:blipFill>
      <xdr:spPr>
        <a:xfrm>
          <a:off x="7620" y="876300"/>
          <a:ext cx="7258679" cy="34514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411480</xdr:colOff>
      <xdr:row>3</xdr:row>
      <xdr:rowOff>106680</xdr:rowOff>
    </xdr:from>
    <xdr:to>
      <xdr:col>12</xdr:col>
      <xdr:colOff>460133</xdr:colOff>
      <xdr:row>20</xdr:row>
      <xdr:rowOff>135643</xdr:rowOff>
    </xdr:to>
    <xdr:pic>
      <xdr:nvPicPr>
        <xdr:cNvPr id="3" name="Picture 2" descr="Thematic map and accompanying bar chart showing suicides by Health and Social Care Trust">
          <a:extLst>
            <a:ext uri="{FF2B5EF4-FFF2-40B4-BE49-F238E27FC236}">
              <a16:creationId xmlns:a16="http://schemas.microsoft.com/office/drawing/2014/main" id="{2130DBB9-35B6-B668-4C58-634EB09CAD98}"/>
            </a:ext>
          </a:extLst>
        </xdr:cNvPr>
        <xdr:cNvPicPr>
          <a:picLocks noChangeAspect="1"/>
        </xdr:cNvPicPr>
      </xdr:nvPicPr>
      <xdr:blipFill>
        <a:blip xmlns:r="http://schemas.openxmlformats.org/officeDocument/2006/relationships" r:embed="rId1"/>
        <a:stretch>
          <a:fillRect/>
        </a:stretch>
      </xdr:blipFill>
      <xdr:spPr>
        <a:xfrm>
          <a:off x="411480" y="754380"/>
          <a:ext cx="7363853" cy="28788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22860</xdr:colOff>
      <xdr:row>3</xdr:row>
      <xdr:rowOff>108586</xdr:rowOff>
    </xdr:from>
    <xdr:to>
      <xdr:col>10</xdr:col>
      <xdr:colOff>464820</xdr:colOff>
      <xdr:row>20</xdr:row>
      <xdr:rowOff>41805</xdr:rowOff>
    </xdr:to>
    <xdr:pic>
      <xdr:nvPicPr>
        <xdr:cNvPr id="2" name="Picture 1" descr="Rainbow chart showing proportion of suicides registered according to Multiple-deprivation quintile">
          <a:extLst>
            <a:ext uri="{FF2B5EF4-FFF2-40B4-BE49-F238E27FC236}">
              <a16:creationId xmlns:a16="http://schemas.microsoft.com/office/drawing/2014/main" id="{11425EA7-5E6E-0117-11C4-84F8745061B7}"/>
            </a:ext>
          </a:extLst>
        </xdr:cNvPr>
        <xdr:cNvPicPr>
          <a:picLocks noChangeAspect="1"/>
        </xdr:cNvPicPr>
      </xdr:nvPicPr>
      <xdr:blipFill>
        <a:blip xmlns:r="http://schemas.openxmlformats.org/officeDocument/2006/relationships" r:embed="rId1"/>
        <a:stretch>
          <a:fillRect/>
        </a:stretch>
      </xdr:blipFill>
      <xdr:spPr>
        <a:xfrm>
          <a:off x="22860" y="756286"/>
          <a:ext cx="6537960" cy="292787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22860</xdr:colOff>
      <xdr:row>3</xdr:row>
      <xdr:rowOff>7620</xdr:rowOff>
    </xdr:from>
    <xdr:to>
      <xdr:col>12</xdr:col>
      <xdr:colOff>153808</xdr:colOff>
      <xdr:row>24</xdr:row>
      <xdr:rowOff>83377</xdr:rowOff>
    </xdr:to>
    <xdr:pic>
      <xdr:nvPicPr>
        <xdr:cNvPr id="4" name="Picture 3" descr="Line chart showing the number of suicides by method">
          <a:extLst>
            <a:ext uri="{FF2B5EF4-FFF2-40B4-BE49-F238E27FC236}">
              <a16:creationId xmlns:a16="http://schemas.microsoft.com/office/drawing/2014/main" id="{D6BDA8C6-3493-905D-776F-0C14ADD83064}"/>
            </a:ext>
          </a:extLst>
        </xdr:cNvPr>
        <xdr:cNvPicPr>
          <a:picLocks noChangeAspect="1"/>
        </xdr:cNvPicPr>
      </xdr:nvPicPr>
      <xdr:blipFill>
        <a:blip xmlns:r="http://schemas.openxmlformats.org/officeDocument/2006/relationships" r:embed="rId1"/>
        <a:stretch>
          <a:fillRect/>
        </a:stretch>
      </xdr:blipFill>
      <xdr:spPr>
        <a:xfrm>
          <a:off x="22860" y="662940"/>
          <a:ext cx="7446148" cy="359619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198119</xdr:rowOff>
    </xdr:from>
    <xdr:to>
      <xdr:col>11</xdr:col>
      <xdr:colOff>251460</xdr:colOff>
      <xdr:row>21</xdr:row>
      <xdr:rowOff>148278</xdr:rowOff>
    </xdr:to>
    <xdr:pic>
      <xdr:nvPicPr>
        <xdr:cNvPr id="2" name="Picture 1" descr="Line chart showing the number of suicides by registration year and the number of suicides by year of occurence">
          <a:extLst>
            <a:ext uri="{FF2B5EF4-FFF2-40B4-BE49-F238E27FC236}">
              <a16:creationId xmlns:a16="http://schemas.microsoft.com/office/drawing/2014/main" id="{89B6B775-40B1-7747-FD15-94734FF3ABDC}"/>
            </a:ext>
          </a:extLst>
        </xdr:cNvPr>
        <xdr:cNvPicPr>
          <a:picLocks noChangeAspect="1"/>
        </xdr:cNvPicPr>
      </xdr:nvPicPr>
      <xdr:blipFill>
        <a:blip xmlns:r="http://schemas.openxmlformats.org/officeDocument/2006/relationships" r:embed="rId1"/>
        <a:stretch>
          <a:fillRect/>
        </a:stretch>
      </xdr:blipFill>
      <xdr:spPr>
        <a:xfrm>
          <a:off x="0" y="647699"/>
          <a:ext cx="6957060" cy="316579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15240</xdr:colOff>
      <xdr:row>3</xdr:row>
      <xdr:rowOff>53340</xdr:rowOff>
    </xdr:from>
    <xdr:to>
      <xdr:col>11</xdr:col>
      <xdr:colOff>235282</xdr:colOff>
      <xdr:row>24</xdr:row>
      <xdr:rowOff>19521</xdr:rowOff>
    </xdr:to>
    <xdr:pic>
      <xdr:nvPicPr>
        <xdr:cNvPr id="4" name="Picture 3" descr="Line chart showing the three year rolling average of suicides based on year of occurrence, with shading showing minimums and maximums around the average">
          <a:extLst>
            <a:ext uri="{FF2B5EF4-FFF2-40B4-BE49-F238E27FC236}">
              <a16:creationId xmlns:a16="http://schemas.microsoft.com/office/drawing/2014/main" id="{E96AB193-119F-83F1-002C-C3D2A272EAA1}"/>
            </a:ext>
          </a:extLst>
        </xdr:cNvPr>
        <xdr:cNvPicPr>
          <a:picLocks noChangeAspect="1"/>
        </xdr:cNvPicPr>
      </xdr:nvPicPr>
      <xdr:blipFill>
        <a:blip xmlns:r="http://schemas.openxmlformats.org/officeDocument/2006/relationships" r:embed="rId1"/>
        <a:stretch>
          <a:fillRect/>
        </a:stretch>
      </xdr:blipFill>
      <xdr:spPr>
        <a:xfrm>
          <a:off x="15240" y="701040"/>
          <a:ext cx="6925642" cy="349424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817AB3-9B02-4F7B-A147-607F9A9971FF}" name="Definition_of_suicide" displayName="Definition_of_suicide" ref="A10:C12" totalsRowShown="0" headerRowBorderDxfId="45" tableBorderDxfId="46">
  <autoFilter ref="A10:C12" xr:uid="{56817AB3-9B02-4F7B-A147-607F9A9971FF}">
    <filterColumn colId="0" hiddenButton="1"/>
    <filterColumn colId="1" hiddenButton="1"/>
    <filterColumn colId="2" hiddenButton="1"/>
  </autoFilter>
  <tableColumns count="3">
    <tableColumn id="1" xr3:uid="{B2B4C061-C276-4BC7-9B9C-0E6EB636203E}" name="Codes" dataDxfId="44"/>
    <tableColumn id="2" xr3:uid="{AF2D4533-F158-4E49-A6FA-002F4B6AF7D7}" name="Description " dataDxfId="43"/>
    <tableColumn id="3" xr3:uid="{969E8107-9B9D-4CF1-8292-26B3A2F543A9}" name="Not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e_of_contents" displayName="Table_of_contents" ref="A2:B28" totalsRowShown="0" headerRowDxfId="248" dataDxfId="247" headerRowCellStyle="Normal 10">
  <autoFilter ref="A2:B28" xr:uid="{00000000-0009-0000-0100-000009000000}">
    <filterColumn colId="0" hiddenButton="1"/>
    <filterColumn colId="1" hiddenButton="1"/>
  </autoFilter>
  <tableColumns count="2">
    <tableColumn id="1" xr3:uid="{00000000-0010-0000-0000-000001000000}" name="Table" dataDxfId="246"/>
    <tableColumn id="2" xr3:uid="{00000000-0010-0000-0000-000002000000}" name="Table name" dataDxfId="245" dataCellStyle="Hyperlink"/>
  </tableColumns>
  <tableStyleInfo showFirstColumn="0" showLastColumn="0" showRowStripes="1" showColumnStripes="0"/>
  <extLst>
    <ext xmlns:x14="http://schemas.microsoft.com/office/spreadsheetml/2009/9/main" uri="{504A1905-F514-4f6f-8877-14C23A59335A}">
      <x14:table altText="Table of Contents" altTextSummary="List of all the tables and figures with automatic lin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23C7D2B-405F-4FAA-90A1-A59EEE683553}" name="Notes_Related_to_the_data_in_this_spreadsheet" displayName="Notes_Related_to_the_data_in_this_spreadsheet" ref="A3:B15" totalsRowShown="0" headerRowDxfId="244" dataDxfId="242" headerRowBorderDxfId="243">
  <tableColumns count="2">
    <tableColumn id="1" xr3:uid="{3DC2817B-D93A-43FD-B3DD-25E5894433C2}" name="Footnote number " dataDxfId="241"/>
    <tableColumn id="2" xr3:uid="{E3C0785A-47E3-4DEB-9E4D-084CA2B45040}" name="Footnote text " dataDxfId="24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1D2B50C-5B89-4446-B525-C70EDD8A0225}" name="Table1" displayName="Table1" ref="A4:H25" totalsRowShown="0" headerRowDxfId="32" headerRowBorderDxfId="41" tableBorderDxfId="42">
  <autoFilter ref="A4:H25" xr:uid="{E1D2B50C-5B89-4446-B525-C70EDD8A022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CFF093E-C7CA-4702-AF68-03D736E84214}" name="Registration Year" dataDxfId="40"/>
    <tableColumn id="2" xr3:uid="{50F31AB7-788C-413C-BD2D-4A988FF4A5D3}" name="Persons _x000a_Suicide including Intentional Self-harm and Events of Undetermined Intent" dataDxfId="39"/>
    <tableColumn id="3" xr3:uid="{6F710180-F769-41C2-81A7-5F5C631B54D5}" name="Persons _x000a_Three-year rolling average" dataDxfId="38"/>
    <tableColumn id="4" xr3:uid="{E48293D7-815F-48DD-A753-DDD8BD6742BF}" name="Persons _x000a_Of which: Intentional Self-harm" dataDxfId="37"/>
    <tableColumn id="5" xr3:uid="{86DD0F33-DD22-427B-ADC2-229638928936}" name="Males _x000a_Suicide including Intentional Self-harm and Events of Undetermined Intent" dataDxfId="36"/>
    <tableColumn id="6" xr3:uid="{1325199D-7247-44B3-97CE-6BB2C8B0AC14}" name="Males _x000a_Of which: Intentional Self-harm" dataDxfId="35"/>
    <tableColumn id="7" xr3:uid="{A6EBB946-143B-449E-BF94-116D4AD1C4F5}" name="Females _x000a_Suicide including Intentional Self-harm and Events of Undetermined Intent" dataDxfId="34"/>
    <tableColumn id="8" xr3:uid="{369A6A77-C661-46BF-98E3-AFBD976BF280}" name="Females _x000a_Of which: Intentional Self-harm" dataDxfId="3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B1A1DA-B222-448D-B15D-D34AAAADD894}" name="Table2_Number_of_suicides_registered_in_NI_by_Sex_and_age" displayName="Table2_Number_of_suicides_registered_in_NI_by_Sex_and_age" ref="A5:P35" totalsRowShown="0" headerRowDxfId="239" dataDxfId="237" headerRowBorderDxfId="238" tableBorderDxfId="236">
  <tableColumns count="16">
    <tableColumn id="1" xr3:uid="{E8E51992-D98B-4AD3-AEE3-9B968337F387}" name="Registration Year" dataDxfId="235"/>
    <tableColumn id="2" xr3:uid="{2C7C82AE-684B-45D7-9DEE-1C56FEB01120}" name="Sex" dataDxfId="234"/>
    <tableColumn id="3" xr3:uid="{576FFBCD-C7C1-4284-B72C-3BAB95EDC891}" name="Total" dataDxfId="233"/>
    <tableColumn id="4" xr3:uid="{1B4F32F2-3F46-4C6D-8036-0B690200FE40}" name="&lt;20" dataDxfId="232"/>
    <tableColumn id="5" xr3:uid="{87E6922C-872E-4967-8CF6-7AF74F4D1CBE}" name="20-24" dataDxfId="231"/>
    <tableColumn id="6" xr3:uid="{FD387975-04B7-4866-BCC9-5D71D50EAC43}" name="25-29" dataDxfId="230"/>
    <tableColumn id="7" xr3:uid="{FA09EC36-7205-41DA-BE47-D23432BB0B4F}" name="30-34" dataDxfId="229"/>
    <tableColumn id="8" xr3:uid="{F00392A7-29A3-4EC1-80A7-F92A2811D0D0}" name="35-39" dataDxfId="228"/>
    <tableColumn id="9" xr3:uid="{7B000A36-4BBD-44F3-8A3A-8CEAD97D3D75}" name="40-44" dataDxfId="227"/>
    <tableColumn id="10" xr3:uid="{CACA9B93-13BE-468E-AEA6-C84CAD36F031}" name="45-49" dataDxfId="226"/>
    <tableColumn id="11" xr3:uid="{8C6A9C66-607F-4E88-9840-F37A6A8CE5FD}" name="50-54" dataDxfId="225"/>
    <tableColumn id="12" xr3:uid="{2AD5EE6A-9289-41C9-963D-D7C8565FB87D}" name="55-59" dataDxfId="224"/>
    <tableColumn id="13" xr3:uid="{66E4377C-ED4C-49CD-8CB4-0DCFB18F346E}" name="60-64" dataDxfId="223"/>
    <tableColumn id="14" xr3:uid="{F20FCB44-748A-4080-A88B-FDB3DF857ABE}" name="65-69" dataDxfId="222"/>
    <tableColumn id="15" xr3:uid="{4822BB21-CE72-47D3-8C0D-DD65555F7041}" name="70-74" dataDxfId="221"/>
    <tableColumn id="16" xr3:uid="{0BC5E7B5-3BA9-435C-AAE8-C32A418712F1}" name="75+" dataDxfId="220"/>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AF20FC0-3007-4822-A5D9-39030CF2A23A}" name="Table3_Number_of_suicide_and_mortality_rate_by_Martial_status" displayName="Table3_Number_of_suicide_and_mortality_rate_by_Martial_status" ref="A5:G25" totalsRowShown="0" headerRowDxfId="219" dataDxfId="217" headerRowBorderDxfId="218" tableBorderDxfId="216">
  <tableColumns count="7">
    <tableColumn id="1" xr3:uid="{F0BED23A-B0D0-4561-94C0-9271ADD45FA3}" name="Registration Year" dataDxfId="215"/>
    <tableColumn id="2" xr3:uid="{B007744A-1CBD-472E-9D47-6336DF178B74}" name="Number and Rate" dataDxfId="214"/>
    <tableColumn id="3" xr3:uid="{56A64B93-5B74-461E-AA29-6D14316AE386}" name="Total" dataDxfId="213"/>
    <tableColumn id="4" xr3:uid="{3C453821-F080-411F-97F1-AAB956B7DEAF}" name="Single" dataDxfId="212"/>
    <tableColumn id="5" xr3:uid="{9BACEE2B-E26F-4082-A5A3-A1268425CB3D}" name="Married" dataDxfId="211"/>
    <tableColumn id="6" xr3:uid="{475542B6-4487-48D1-B1A9-F12A50BF7F91}" name="Divorced" dataDxfId="210"/>
    <tableColumn id="7" xr3:uid="{C46D8303-D469-4896-82D2-BF1025DE9BE3}" name="Widowed" dataDxfId="209"/>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7499DD-79D5-4DA4-B660-A8A326DA7620}" name="Table4_ASMR_in_NI_by_sex_for_suicide_deaths" displayName="Table4_ASMR_in_NI_by_sex_for_suicide_deaths" ref="A5:G26" totalsRowShown="0" headerRowDxfId="208" headerRowBorderDxfId="207" tableBorderDxfId="206">
  <tableColumns count="7">
    <tableColumn id="1" xr3:uid="{9BAF0D53-1279-46C5-9DD5-14F127FF9805}" name="Registration Year" dataDxfId="205"/>
    <tableColumn id="2" xr3:uid="{72AA28C7-843C-4B49-A0E5-A417DAB66ECE}" name="Suicide Rate" dataDxfId="204"/>
    <tableColumn id="3" xr3:uid="{9EDB20D7-76C6-4B12-A765-5B43C5174557}" name="Male" dataDxfId="203"/>
    <tableColumn id="4" xr3:uid="{B383CCCA-4059-4A0C-AD39-8BAA7D4F5E50}" name="Female" dataDxfId="202"/>
    <tableColumn id="5" xr3:uid="{D76B0143-05B5-4B51-AAAF-85C828160A53}" name="ASMR - Total" dataDxfId="201"/>
    <tableColumn id="6" xr3:uid="{C64C71CA-0D2C-4EEC-9007-99EBFB532569}" name="ASMR-Male" dataDxfId="200"/>
    <tableColumn id="7" xr3:uid="{169F8EAA-EE11-4E94-83CF-48707A996AC8}" name="ASMR-Female" dataDxfId="19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712E0A-EDB0-4B88-B72A-0A18A61492B0}" name="Table5_Suicides_Year_of_Registration_and_Year_of_Occurrence" displayName="Table5_Suicides_Year_of_Registration_and_Year_of_Occurrence" ref="A5:Y15" totalsRowShown="0" headerRowDxfId="198" dataDxfId="197" tableBorderDxfId="196" headerRowCellStyle="Normal_Sheet2">
  <tableColumns count="25">
    <tableColumn id="1" xr3:uid="{F618D121-E4B1-4122-9FCD-2CF3BE19B09A}" name="Registration Year" dataDxfId="195"/>
    <tableColumn id="6" xr3:uid="{AA81B2D1-EFCE-4405-B631-4BEA19266340}" name="Number of Suicides" dataDxfId="194" dataCellStyle="Normal_Sheet2"/>
    <tableColumn id="4" xr3:uid="{37700DEC-A65C-4B92-ABCD-816BFEFFBCF5}" name="Prior to 2004" dataDxfId="31" dataCellStyle="Normal_Sheet2"/>
    <tableColumn id="9" xr3:uid="{E531B88E-1B0B-4345-90EE-FFD9D7A8C844}" name="2004" dataDxfId="30"/>
    <tableColumn id="10" xr3:uid="{A4EC2FDA-28A2-463F-855D-909FE17324EF}" name="2005" dataDxfId="29"/>
    <tableColumn id="11" xr3:uid="{41ECD958-C86A-4F76-B25C-DD3F5534ABAB}" name="2006" dataDxfId="28"/>
    <tableColumn id="12" xr3:uid="{E4464BA1-A10C-45E2-8857-116852573C7E}" name="2007" dataDxfId="27"/>
    <tableColumn id="13" xr3:uid="{18477FA7-D3CF-4BFC-8514-E8B2FD41F2F6}" name="2008" dataDxfId="26"/>
    <tableColumn id="14" xr3:uid="{5D2DA260-8FD9-43F0-8F16-AD1D1E6A8BDA}" name="2009" dataDxfId="25"/>
    <tableColumn id="15" xr3:uid="{0E8DFEB4-695C-478E-9EF1-0B0CE730BE62}" name="2010" dataDxfId="24"/>
    <tableColumn id="16" xr3:uid="{1F360039-0EFB-46C3-8975-39C7DB54572E}" name="2011" dataDxfId="23"/>
    <tableColumn id="17" xr3:uid="{F4BE6AA5-3107-42D1-BC37-CC191149111A}" name="2012" dataDxfId="22"/>
    <tableColumn id="18" xr3:uid="{7D01E4CD-D286-4928-9602-B5987AD667DD}" name="2013" dataDxfId="21"/>
    <tableColumn id="19" xr3:uid="{8E532A9F-E5F4-40F2-838D-49DAFEAFEF16}" name="2014" dataDxfId="20"/>
    <tableColumn id="20" xr3:uid="{8A66539E-3C09-4C86-9AE1-14B609B11D67}" name="2015" dataDxfId="19"/>
    <tableColumn id="21" xr3:uid="{EEF2DEBC-F493-41A9-872C-D71BA2BFFDE8}" name="2016" dataDxfId="18"/>
    <tableColumn id="22" xr3:uid="{1C3766DB-008C-49B8-B251-5A8F280E35B1}" name="2017" dataDxfId="17"/>
    <tableColumn id="23" xr3:uid="{F4E200F0-233B-476D-B768-C2DC3A3DBA7C}" name="2018" dataDxfId="16"/>
    <tableColumn id="26" xr3:uid="{60CCB228-2DC9-4D9D-909E-20E983A608AE}" name="2019" dataDxfId="15"/>
    <tableColumn id="24" xr3:uid="{7FA97B5D-5180-4DCE-A55C-288D2FBE4473}" name="2020" dataDxfId="14"/>
    <tableColumn id="3" xr3:uid="{5A5E4E3D-3725-4CFF-A567-2AA092A4352D}" name="2021" dataDxfId="13"/>
    <tableColumn id="5" xr3:uid="{DBE4F018-139A-4109-95C9-0C969C409586}" name="2022" dataDxfId="12"/>
    <tableColumn id="7" xr3:uid="{06FE2C62-18E7-411D-80AE-4C4299B07535}" name="2023" dataDxfId="11"/>
    <tableColumn id="8" xr3:uid="{DDB342D1-5ACE-497A-ABB7-A7F83D1DDAE5}" name="2024" dataDxfId="9"/>
    <tableColumn id="2" xr3:uid="{6AB311E6-6D61-4164-9A47-2978FB38BBB6}" name="Median time taken to register (days)" dataDxfId="10"/>
  </tableColumns>
  <tableStyleInfo name="TableStyleLight1" showFirstColumn="0" showLastColumn="0" showRowStripes="1" showColumnStripes="0"/>
  <extLst>
    <ext xmlns:x14="http://schemas.microsoft.com/office/spreadsheetml/2009/9/main" uri="{504A1905-F514-4f6f-8877-14C23A59335A}">
      <x14:table altText="Suicides by year of registration and year of occurrence, 2018 to 2020"/>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_Number_of_Suicides_Registered_in_Northern_Ireland_by_Local_Government_Districts" displayName="Table6_Number_of_Suicides_Registered_in_Northern_Ireland_by_Local_Government_Districts" ref="A4:K16" totalsRowShown="0" headerRowDxfId="193" dataDxfId="191" headerRowBorderDxfId="192" tableBorderDxfId="190">
  <tableColumns count="11">
    <tableColumn id="1" xr3:uid="{00000000-0010-0000-0200-000001000000}" name="District Council" dataDxfId="189"/>
    <tableColumn id="6" xr3:uid="{9B260840-BDB7-4B0B-9D8B-1BACFCF92EC3}" name="2015" dataDxfId="188"/>
    <tableColumn id="7" xr3:uid="{376DBF37-361C-4C03-AFD1-AA8A0247096D}" name="2016" dataDxfId="187"/>
    <tableColumn id="8" xr3:uid="{F4518B75-6076-4076-98F3-881401120FB5}" name="2017" dataDxfId="186"/>
    <tableColumn id="9" xr3:uid="{6E9BE376-6252-4354-976C-0746AF7D4E34}" name="2018" dataDxfId="185"/>
    <tableColumn id="2" xr3:uid="{00000000-0010-0000-0200-000002000000}" name="2019" dataDxfId="184"/>
    <tableColumn id="3" xr3:uid="{00000000-0010-0000-0200-000003000000}" name="2020" dataDxfId="183"/>
    <tableColumn id="4" xr3:uid="{00000000-0010-0000-0200-000004000000}" name="2021" dataDxfId="182"/>
    <tableColumn id="13" xr3:uid="{100E29C0-9EA3-4CEC-8CD7-AD4223E3410F}" name="2022" dataDxfId="181"/>
    <tableColumn id="10" xr3:uid="{65DC5150-F667-4CFB-BEC0-5D567AFCAC6B}" name="2023" dataDxfId="180"/>
    <tableColumn id="5" xr3:uid="{00000000-0010-0000-0200-000005000000}" name="2024" dataDxfId="179"/>
  </tableColumns>
  <tableStyleInfo name="TableStyleLight1" showFirstColumn="0" showLastColumn="0" showRowStripes="1" showColumnStripes="0"/>
  <extLst>
    <ext xmlns:x14="http://schemas.microsoft.com/office/spreadsheetml/2009/9/main" uri="{504A1905-F514-4f6f-8877-14C23A59335A}">
      <x14:table altText="Number of Suicides registered in NI by 11 Local Government District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FA4D29-72DA-4C96-880E-0EDB7510B502}" name="Table7_Number_of_Suicide_registered_in_NI_by_Health_and_Social_care_trust_and_sex" displayName="Table7_Number_of_Suicide_registered_in_NI_by_Health_and_Social_care_trust_and_sex" ref="A5:H35" totalsRowShown="0" headerRowDxfId="178" headerRowBorderDxfId="177" tableBorderDxfId="176">
  <tableColumns count="8">
    <tableColumn id="1" xr3:uid="{D3AEA3F4-D358-4460-929A-0A46FD448ADE}" name="Registration Year" dataDxfId="7"/>
    <tableColumn id="2" xr3:uid="{6066EA41-E812-40D7-9A23-EE4C6C92E525}" name="Sex" dataDxfId="8"/>
    <tableColumn id="3" xr3:uid="{609292CE-B4D9-47B1-BFC4-8932A20E9334}" name="Total" dataDxfId="175"/>
    <tableColumn id="4" xr3:uid="{11C66DD0-0A69-4DEB-BADD-8357DA59D0CE}" name="Belfast" dataDxfId="174"/>
    <tableColumn id="5" xr3:uid="{5351949E-2880-4FDD-AADC-C59A14D719A3}" name="Northern" dataDxfId="173"/>
    <tableColumn id="6" xr3:uid="{53FDE97B-1290-4B6C-848A-1BA0B24F29A0}" name="South Eastern" dataDxfId="172"/>
    <tableColumn id="7" xr3:uid="{AAFBAA37-9EE2-4B04-B0D4-61307DB9F52C}" name="Southern" dataDxfId="171"/>
    <tableColumn id="8" xr3:uid="{2468434F-EDF4-47F2-BE7D-414B53654FC1}" name="Western" dataDxfId="170"/>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9_Number_of_Deaths_from_Suicide_Registered_in_Northern_Ireland_by_Parliamentary_Constituency" displayName="Table9_Number_of_Deaths_from_Suicide_Registered_in_Northern_Ireland_by_Parliamentary_Constituency" ref="A4:K23" totalsRowShown="0" headerRowDxfId="169" dataDxfId="167" headerRowBorderDxfId="168" tableBorderDxfId="166">
  <tableColumns count="11">
    <tableColumn id="1" xr3:uid="{00000000-0010-0000-0300-000001000000}" name="Parliamentary Constituency" dataDxfId="165"/>
    <tableColumn id="7" xr3:uid="{4EB646E2-2174-4709-9AB9-940B50E6251B}" name="2015" dataDxfId="164"/>
    <tableColumn id="8" xr3:uid="{1708C4BC-EEAE-4ACA-A227-C13396C6D8C4}" name="2016" dataDxfId="163"/>
    <tableColumn id="9" xr3:uid="{18D87D50-BF2B-4B82-AABD-8A48ED472561}" name="2017" dataDxfId="162"/>
    <tableColumn id="2" xr3:uid="{00000000-0010-0000-0300-000002000000}" name="2018" dataDxfId="161"/>
    <tableColumn id="3" xr3:uid="{00000000-0010-0000-0300-000003000000}" name="2019" dataDxfId="160"/>
    <tableColumn id="4" xr3:uid="{00000000-0010-0000-0300-000004000000}" name="2020" dataDxfId="159"/>
    <tableColumn id="10" xr3:uid="{AF251A31-1820-43E9-A0B4-E4CF65832DAE}" name="2021" dataDxfId="158"/>
    <tableColumn id="5" xr3:uid="{00000000-0010-0000-0300-000005000000}" name="2022" dataDxfId="157"/>
    <tableColumn id="11" xr3:uid="{1EEB0701-F08C-4490-A088-F3244F73DCE3}" name="2023" dataDxfId="156"/>
    <tableColumn id="12" xr3:uid="{682AA2C0-07BD-402C-A856-8C63F879A95A}" name="2024" dataDxfId="155"/>
  </tableColumns>
  <tableStyleInfo name="TableStyleLight1" showFirstColumn="0" showLastColumn="0" showRowStripes="1" showColumnStripes="0"/>
  <extLst>
    <ext xmlns:x14="http://schemas.microsoft.com/office/spreadsheetml/2009/9/main" uri="{504A1905-F514-4f6f-8877-14C23A59335A}">
      <x14:table altText="Number of Suicides registered in NI by Parliamentary Constituency, 2018-2020"/>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le10_Number_of_Suicides_Registered_in_Northern_Ireland_by_Urban_Rural_Classification" displayName="Table10_Number_of_Suicides_Registered_in_Northern_Ireland_by_Urban_Rural_Classification" ref="A4:K11" totalsRowShown="0" headerRowDxfId="154" dataDxfId="152" headerRowBorderDxfId="153" tableBorderDxfId="151">
  <tableColumns count="11">
    <tableColumn id="1" xr3:uid="{00000000-0010-0000-0400-000001000000}" name="Urban Rural Classification" dataDxfId="150"/>
    <tableColumn id="7" xr3:uid="{63A66D8B-A47C-49F2-BD62-0B39F05FA587}" name="2015" dataDxfId="149"/>
    <tableColumn id="8" xr3:uid="{96253B16-C2B6-4F16-898E-14EA0A144B23}" name="2016" dataDxfId="148"/>
    <tableColumn id="9" xr3:uid="{E168DA8C-C844-42E1-9756-CEF6E1697000}" name="2017" dataDxfId="147"/>
    <tableColumn id="2" xr3:uid="{00000000-0010-0000-0400-000002000000}" name="2018" dataDxfId="146"/>
    <tableColumn id="3" xr3:uid="{00000000-0010-0000-0400-000003000000}" name="2019" dataDxfId="145"/>
    <tableColumn id="4" xr3:uid="{00000000-0010-0000-0400-000004000000}" name="2020" dataDxfId="144"/>
    <tableColumn id="5" xr3:uid="{00000000-0010-0000-0400-000005000000}" name="2021" dataDxfId="143"/>
    <tableColumn id="10" xr3:uid="{D47450B7-0A19-42AD-BBE6-BC2F781B7CB8}" name="2022" dataDxfId="142"/>
    <tableColumn id="13" xr3:uid="{2E9E4AA8-E15C-4829-9E2B-2F00DD440A4B}" name="2023"/>
    <tableColumn id="12" xr3:uid="{DA022090-2460-4341-9AD7-004CB4950CD5}" name="2024" dataDxfId="141"/>
  </tableColumns>
  <tableStyleInfo name="TableStyleLight1" showFirstColumn="0" showLastColumn="0" showRowStripes="1" showColumnStripes="0"/>
  <extLst>
    <ext xmlns:x14="http://schemas.microsoft.com/office/spreadsheetml/2009/9/main" uri="{504A1905-F514-4f6f-8877-14C23A59335A}">
      <x14:table altText="Number of suicides registered in NI by Urban/Rural Classification, 2018-2020"/>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60A09B5-A44C-436D-A089-85001AF969D4}" name="Table11_Number_of_suicides_registered_in_NI_by_NIMDM2017" displayName="Table11_Number_of_suicides_registered_in_NI_by_NIMDM2017" ref="A4:G14" totalsRowShown="0" headerRowDxfId="140" dataDxfId="138" headerRowBorderDxfId="139" tableBorderDxfId="137" headerRowCellStyle="Normal 2">
  <tableColumns count="7">
    <tableColumn id="1" xr3:uid="{E12AD8B8-CBAB-4794-A0A1-12A9A1D78954}" name="Registration Year" dataDxfId="136" dataCellStyle="Normal 2"/>
    <tableColumn id="2" xr3:uid="{DFDCE9EE-6FE5-49B3-AEDD-2797368C2644}" name="Quintile 1 - most deprived" dataDxfId="135"/>
    <tableColumn id="3" xr3:uid="{1EF66DDA-432A-46E0-9E86-E4747E5368D4}" name="Quintile 2" dataDxfId="134"/>
    <tableColumn id="4" xr3:uid="{2981EC01-1876-413E-8E6D-7B4FB139472C}" name="Quintile 3" dataDxfId="133"/>
    <tableColumn id="5" xr3:uid="{0545C680-A214-40C0-8F63-BA2CCA968609}" name="Quintile 4" dataDxfId="132"/>
    <tableColumn id="6" xr3:uid="{B8E08B8A-CBD6-4412-86F9-342D31417AC9}" name="Quintile 5 - least deprived" dataDxfId="131"/>
    <tableColumn id="7" xr3:uid="{5276CC59-702D-423C-97BA-723C327EDA39}" name="Total" dataDxfId="130" dataCellStyle="Normal 2"/>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10A79FD-273E-4F87-95DD-5FF240DF9CEF}" name="Table12_Number_of_suicide_registerd_in_NI_by_NIMDM2017_and_ASMR" displayName="Table12_Number_of_suicide_registerd_in_NI_by_NIMDM2017_and_ASMR" ref="A5:F26" totalsRowShown="0" headerRowDxfId="129" dataDxfId="127" headerRowBorderDxfId="128" tableBorderDxfId="126" headerRowCellStyle="Normal 2" dataCellStyle="Normal 3">
  <tableColumns count="6">
    <tableColumn id="1" xr3:uid="{61700756-6138-4815-AA7F-CAB99D7E070E}" name="Registration Year" dataDxfId="125" dataCellStyle="Normal 2"/>
    <tableColumn id="2" xr3:uid="{25248FEA-C7E6-4E58-A12C-3EF6634B76F7}" name="Quintile 1 - most deprived" dataDxfId="124" dataCellStyle="Normal 2"/>
    <tableColumn id="3" xr3:uid="{CF6F8670-9992-4EC1-A356-308727673103}" name="Quintile 2" dataDxfId="123" dataCellStyle="Normal 3"/>
    <tableColumn id="4" xr3:uid="{C70A00D6-020D-4424-8289-9785A8063E83}" name="Quintile 3" dataDxfId="122" dataCellStyle="Normal 3"/>
    <tableColumn id="5" xr3:uid="{65452907-5702-4609-8EB1-81FB1CFBCC0D}" name="Quintile 4" dataDxfId="121" dataCellStyle="Normal 3"/>
    <tableColumn id="6" xr3:uid="{D2FE09C6-DD30-4D33-8E88-BB52531BF6E1}" name="Quintile 5 - least deprived" dataDxfId="120" dataCellStyle="Normal 2"/>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401B965-78C5-465A-BCED-723C00BFBE22}" name="Table13_number_of_suicide_registered_in_NI_by_method_and_sex" displayName="Table13_number_of_suicide_registered_in_NI_by_method_and_sex" ref="A4:W16" totalsRowShown="0" headerRowDxfId="119" dataDxfId="117" headerRowBorderDxfId="118" tableBorderDxfId="116">
  <tableColumns count="23">
    <tableColumn id="1" xr3:uid="{EB55AF8D-53DB-4624-87D7-6B1437A66D44}" name="Sex" dataDxfId="115"/>
    <tableColumn id="2" xr3:uid="{0048B010-D9F2-471B-98CD-7BF4A6D058AA}" name="Method of suicide" dataDxfId="114"/>
    <tableColumn id="20" xr3:uid="{692BD9DE-E1FA-445F-AC71-7C1092296A38}" name="2004" dataDxfId="113"/>
    <tableColumn id="21" xr3:uid="{EBB63B12-4ED1-4184-B82F-2F83836D6FA6}" name="2005" dataDxfId="112"/>
    <tableColumn id="22" xr3:uid="{AB36864F-63D0-4D48-B478-319392AAA38A}" name="2006" dataDxfId="111"/>
    <tableColumn id="23" xr3:uid="{EA061468-2A60-4DC5-9E4F-57616B42883B}" name="2007" dataDxfId="110"/>
    <tableColumn id="14" xr3:uid="{917A9177-65A5-422E-9F98-14DBCC53A290}" name="2008" dataDxfId="109"/>
    <tableColumn id="15" xr3:uid="{BDC9BECF-4865-477F-B7BA-E3BE6A81F911}" name="2009" dataDxfId="108"/>
    <tableColumn id="16" xr3:uid="{7298BA12-0566-4A21-BFFB-F99CD648ABFC}" name="2010" dataDxfId="107"/>
    <tableColumn id="17" xr3:uid="{61000461-08CC-400E-B374-7D7930326708}" name="2011" dataDxfId="106"/>
    <tableColumn id="18" xr3:uid="{2E69E994-2675-40C8-9EEC-4EFDE1B5A52A}" name="2012" dataDxfId="105"/>
    <tableColumn id="4" xr3:uid="{44069075-DE03-4888-846B-FA0819EBF25C}" name="2013" dataDxfId="104"/>
    <tableColumn id="5" xr3:uid="{2EF37FDA-1061-42F4-BBC2-9576102D6DFD}" name="2014" dataDxfId="103"/>
    <tableColumn id="6" xr3:uid="{4A362BFC-D973-4B77-AFFB-201DC11EE91A}" name="2015" dataDxfId="102"/>
    <tableColumn id="7" xr3:uid="{4DA5C8FB-171C-411D-A8B5-DB483AA48251}" name="2016" dataDxfId="101"/>
    <tableColumn id="8" xr3:uid="{ADDDBE87-B0F1-43B6-8147-39495C0A5728}" name="2017" dataDxfId="100"/>
    <tableColumn id="9" xr3:uid="{13E4E50A-F789-4C8E-84A8-4BD78DEBD52B}" name="2018" dataDxfId="99"/>
    <tableColumn id="10" xr3:uid="{3186AC68-DC36-4548-B8F0-AD157B6CEE3C}" name="2019" dataDxfId="98"/>
    <tableColumn id="11" xr3:uid="{1679A463-5E9D-4E95-B52D-1B1DE086AEDA}" name="2020" dataDxfId="97"/>
    <tableColumn id="12" xr3:uid="{0ED303DD-FE43-438B-BC28-B2677DC39593}" name="2021" dataDxfId="96"/>
    <tableColumn id="13" xr3:uid="{4A21EABC-3B33-4774-99EA-97BFDF4B019D}" name="2022" dataDxfId="95"/>
    <tableColumn id="19" xr3:uid="{FBF9C9FF-8C17-4541-9F5B-E4BFB1E45669}" name="2023" dataDxfId="94"/>
    <tableColumn id="3" xr3:uid="{47BF6962-DD56-4748-9E08-4CC65590352B}" name="2024" dataDxfId="93"/>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B07457-691E-466B-9495-38BF03980DA4}" name="Table14_number_of_suicide_registered_in_NI_by_method_and_age" displayName="Table14_number_of_suicide_registered_in_NI_by_method_and_age" ref="A5:P45" totalsRowShown="0" headerRowDxfId="92" dataDxfId="90" headerRowBorderDxfId="91" tableBorderDxfId="89">
  <tableColumns count="16">
    <tableColumn id="1" xr3:uid="{6A633610-B43D-4E1D-AFFE-0D5815B54776}" name="Registration Year" dataDxfId="88"/>
    <tableColumn id="2" xr3:uid="{D12078FC-B7AE-4EF6-B157-415A52B763F8}" name="Method of suicide" dataDxfId="87"/>
    <tableColumn id="3" xr3:uid="{54F3D49D-9692-436B-AFF4-13CD104176A3}" name="Total" dataDxfId="86"/>
    <tableColumn id="4" xr3:uid="{852CA763-BFB9-4B2D-9933-3F1785882A33}" name="&lt;20" dataDxfId="85"/>
    <tableColumn id="5" xr3:uid="{65247675-5945-4E05-BF36-B8FA6BB3F909}" name="20-24" dataDxfId="84"/>
    <tableColumn id="6" xr3:uid="{3419AF47-2F55-4A72-AEC4-6A95D964DEC1}" name="25-29" dataDxfId="83"/>
    <tableColumn id="7" xr3:uid="{79E86B49-81F3-4937-AF39-63D5E52F5B45}" name="30-34" dataDxfId="82"/>
    <tableColumn id="8" xr3:uid="{29196EA8-33CA-45BF-B59F-B62E2521C15A}" name="35-39" dataDxfId="81"/>
    <tableColumn id="9" xr3:uid="{62814F29-8453-47AC-A5E0-AA59BEF434A9}" name="40-44" dataDxfId="80"/>
    <tableColumn id="10" xr3:uid="{AEB49687-7B08-4A19-9847-9A6418963894}" name="45-49" dataDxfId="79"/>
    <tableColumn id="11" xr3:uid="{088E7F9D-3EB9-4C2C-A961-4DCB5BAD4716}" name="50-54" dataDxfId="78"/>
    <tableColumn id="12" xr3:uid="{FADD981C-D0B8-40D1-9EE5-60E7E1C02304}" name="55-59" dataDxfId="77"/>
    <tableColumn id="13" xr3:uid="{4D68CBD6-383E-4F57-B672-B9249D004D60}" name="60-64" dataDxfId="76"/>
    <tableColumn id="14" xr3:uid="{4931EED3-AF1D-48DD-9EFF-BF4EA4FD89E4}" name="65-69" dataDxfId="75"/>
    <tableColumn id="15" xr3:uid="{B3C97E8E-8BE0-4938-BAD8-26F800E253D0}" name="70-74" dataDxfId="74"/>
    <tableColumn id="16" xr3:uid="{1C352343-0FA0-4301-8974-2C6014EA260F}" name="75+" dataDxfId="73"/>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8177537-3803-447A-877F-1EA04E05F6CD}" name="Table15_Number_of_suicide_registered_in_NI_by_method_and_health_and_social_care_trust" displayName="Table15_Number_of_suicide_registered_in_NI_by_method_and_health_and_social_care_trust" ref="A5:H45" totalsRowShown="0" headerRowDxfId="72" dataDxfId="70" headerRowBorderDxfId="71" tableBorderDxfId="69">
  <tableColumns count="8">
    <tableColumn id="1" xr3:uid="{CBDCA1F8-545F-465C-ABDA-AC04AC52469F}" name="Registration Year" dataDxfId="68"/>
    <tableColumn id="2" xr3:uid="{6BD556CD-AC44-48CD-88A6-919A20B791B9}" name="Method of suicide" dataDxfId="67"/>
    <tableColumn id="3" xr3:uid="{154B501C-D5F4-4B45-8F5F-BC23C71CB667}" name="Total" dataDxfId="66"/>
    <tableColumn id="4" xr3:uid="{E9C96EDD-F35B-4846-9C5F-50521677B900}" name="Belfast" dataDxfId="65"/>
    <tableColumn id="5" xr3:uid="{919B0E78-9373-4F7B-B47B-49F9410C6DBA}" name="Northern" dataDxfId="64"/>
    <tableColumn id="6" xr3:uid="{E53301AE-FFF4-48DC-8E5D-671514C952EA}" name="South Eastern" dataDxfId="63"/>
    <tableColumn id="7" xr3:uid="{C581EFFB-4148-426E-BA85-389D4BECBB75}" name="Southern" dataDxfId="62"/>
    <tableColumn id="8" xr3:uid="{9D5E8BBE-C302-4817-9EB7-EB3A62FBF5B2}" name="Western" dataDxfId="61"/>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EF8DAEE-E986-43D9-BDD5-A13C4D98A41E}" name="Table16_Number_of_suicide_occurring_in_NI_by_Sex" displayName="Table16_Number_of_suicide_occurring_in_NI_by_Sex" ref="A5:H25" totalsRowShown="0" headerRowDxfId="60" headerRowBorderDxfId="59" tableBorderDxfId="58">
  <tableColumns count="8">
    <tableColumn id="1" xr3:uid="{C5452E42-F7AE-4A4A-BA07-056B102048E9}" name="Occurrence Year" dataDxfId="57"/>
    <tableColumn id="2" xr3:uid="{61E42C04-B43B-42D7-A7FC-BDCD486FC46E}" name="Persons_x000a_Suicide including Intentional Self-harm and Events of Undetermined Intent" dataDxfId="6"/>
    <tableColumn id="8" xr3:uid="{32F73217-AE09-4CDB-8A74-840458C347B5}" name="Persons_x000a_Three-year rolling average" dataDxfId="5"/>
    <tableColumn id="3" xr3:uid="{376A4E9E-BA92-4156-A3AB-79EA0D2CA313}" name="Persons _x000a_Of which: Intentional Self-harm" dataDxfId="4"/>
    <tableColumn id="4" xr3:uid="{1ECDA470-B1D3-4515-AB05-5D52681293BE}" name="Males _x000a_Suicide including Intentional Self-harm and Events of Undetermined Intent" dataDxfId="3"/>
    <tableColumn id="5" xr3:uid="{2E32578F-021E-4FFB-A26D-A800F5DC93CA}" name="Males _x000a_Of which: Intentional Self-harm" dataDxfId="2"/>
    <tableColumn id="6" xr3:uid="{4230BBE6-2F55-4AB4-821F-4BE137BC06EB}" name="Females _x000a_Suicide including Intentional Self-harm and Events of Undetermined Intent" dataDxfId="1"/>
    <tableColumn id="7" xr3:uid="{D445A8A1-6B9E-4459-9EE7-175E35A4418E}" name="Females _x000a_Of which: Intentional Self-harm" dataDxfId="0"/>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ACD635E-94A6-4699-8AB4-C354C0A32DB2}" name="Table17_ASMR_for_registered_and_occurring_in_NI_by_sex" displayName="Table17_ASMR_for_registered_and_occurring_in_NI_by_sex" ref="A5:G15" totalsRowShown="0" headerRowDxfId="56" headerRowBorderDxfId="55" tableBorderDxfId="54">
  <tableColumns count="7">
    <tableColumn id="1" xr3:uid="{5F7BD853-5F5D-4E73-B7A5-AC3205A50E29}" name="Year" dataDxfId="53"/>
    <tableColumn id="2" xr3:uid="{3DC07BFE-9F3E-4901-8124-1D72925446BE}" name="Registration Year" dataDxfId="52"/>
    <tableColumn id="3" xr3:uid="{5F16029A-6039-4332-A69B-04B5C6DA5EC0}" name="Registration-Male" dataDxfId="51"/>
    <tableColumn id="4" xr3:uid="{254FAB64-F8E3-4030-8A9F-8F4A5B395D17}" name="Registration - Female" dataDxfId="50"/>
    <tableColumn id="5" xr3:uid="{08C2E9A6-C08B-4133-A1E3-32E01E5049CB}" name="Occurrence Year" dataDxfId="49"/>
    <tableColumn id="6" xr3:uid="{3EAC37AB-022C-4EC5-9AF4-CAD02861411C}" name="Occurrence-Male" dataDxfId="48"/>
    <tableColumn id="7" xr3:uid="{892D7DD6-9B24-4B83-87B1-646F55C641E9}" name="Occurrence-Female" dataDxfId="47"/>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info@nisra.gov.uk" TargetMode="External"/><Relationship Id="rId7" Type="http://schemas.openxmlformats.org/officeDocument/2006/relationships/printerSettings" Target="../printerSettings/printerSettings1.bin"/><Relationship Id="rId2" Type="http://schemas.openxmlformats.org/officeDocument/2006/relationships/hyperlink" Target="https://uksa.statisticsauthority.gov.uk/publication/statistics-on-demography-and-vital-events-in-northern-ireland-letter-of-confirmation-as-national-statistics/" TargetMode="External"/><Relationship Id="rId1" Type="http://schemas.openxmlformats.org/officeDocument/2006/relationships/hyperlink" Target="https://www.nisra.gov.uk/statistics/cause-death/suicide-deaths" TargetMode="External"/><Relationship Id="rId6" Type="http://schemas.openxmlformats.org/officeDocument/2006/relationships/hyperlink" Target="https://www.nisra.gov.uk/publications/quality-assurance-administrative-data-qaad-deaths-data-northern-ireland" TargetMode="External"/><Relationship Id="rId5" Type="http://schemas.openxmlformats.org/officeDocument/2006/relationships/hyperlink" Target="mailto:demography@nisra.gov.uk?subject=Please%20Add%20Me%20to%20the%20Vital%20Statistics%20User%20LIst" TargetMode="External"/><Relationship Id="rId4" Type="http://schemas.openxmlformats.org/officeDocument/2006/relationships/hyperlink" Target="https://consultations2.nidirect.gov.uk/dof/vital-events-statistics-user-survey-252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ons.gov.uk/peoplepopulationandcommunity/birthsdeathsandmarriages/deaths/articles/changeinthestandardofproofusedbycoronersandtheimpactonsuicidedeathregistrationsdatainenglandandwales/2020-12-08" TargetMode="External"/><Relationship Id="rId13" Type="http://schemas.openxmlformats.org/officeDocument/2006/relationships/hyperlink" Target="https://www.nisra.gov.uk/publications/user-guide-suicide-statistics-northern-ireland" TargetMode="External"/><Relationship Id="rId18" Type="http://schemas.openxmlformats.org/officeDocument/2006/relationships/hyperlink" Target="https://www.ons.gov.uk/peoplepopulationandcommunity/birthsdeathsandmarriages/deaths/articles/drugrelateddeathsandsuicideinprisoncustodyinenglandandwales/2023-01-26" TargetMode="External"/><Relationship Id="rId3" Type="http://schemas.openxmlformats.org/officeDocument/2006/relationships/hyperlink" Target="https://www.gov.uk/government/collections/coroners-and-burials-statistics" TargetMode="External"/><Relationship Id="rId7" Type="http://schemas.openxmlformats.org/officeDocument/2006/relationships/hyperlink" Target="https://www.ons.gov.uk/peoplepopulationandcommunity/birthsdeathsandmarriages/deaths/articles/recenttrendsinsuicidedeathoccurrencesinenglandandwalesbetween2001and2018/2020-12-08" TargetMode="External"/><Relationship Id="rId12" Type="http://schemas.openxmlformats.org/officeDocument/2006/relationships/hyperlink" Target="https://www.nisra.gov.uk/publications/review-suicide-statistics-northern-ireland" TargetMode="External"/><Relationship Id="rId17" Type="http://schemas.openxmlformats.org/officeDocument/2006/relationships/hyperlink" Target="https://www.ons.gov.uk/peoplepopulationandcommunity/birthsdeathsandmarriages/deaths/articles/estimatingsuicideamonghighereducationstudentsenglandandwalesexperimentalstatistics/august2016tojuly2023" TargetMode="External"/><Relationship Id="rId2" Type="http://schemas.openxmlformats.org/officeDocument/2006/relationships/hyperlink" Target="https://www.nisra.gov.uk/statistics/cause-death/suicide-deaths" TargetMode="External"/><Relationship Id="rId16" Type="http://schemas.openxmlformats.org/officeDocument/2006/relationships/hyperlink" Target="https://www.nrscotland.gov.uk/publications/probable-suicides-2024/" TargetMode="External"/><Relationship Id="rId20" Type="http://schemas.openxmlformats.org/officeDocument/2006/relationships/table" Target="../tables/table1.xml"/><Relationship Id="rId1" Type="http://schemas.openxmlformats.org/officeDocument/2006/relationships/hyperlink" Target="https://www.ons.gov.uk/peoplepopulationandcommunity/birthsdeathsandmarriages/deaths/articles/suicidebyoccupation/england2011to2015" TargetMode="External"/><Relationship Id="rId6" Type="http://schemas.openxmlformats.org/officeDocument/2006/relationships/hyperlink" Target="https://www.ons.gov.uk/peoplepopulationandcommunity/birthsdeathsandmarriages/deaths/articles/suicideinwalessince1981/2019-06-27" TargetMode="External"/><Relationship Id="rId11" Type="http://schemas.openxmlformats.org/officeDocument/2006/relationships/hyperlink" Target="https://www.ons.gov.uk/peoplepopulationandcommunity/birthsdeathsandmarriages/deaths/bulletins/suicidesintheunitedkingdom/latest" TargetMode="External"/><Relationship Id="rId5" Type="http://schemas.openxmlformats.org/officeDocument/2006/relationships/hyperlink" Target="https://www.ons.gov.uk/peoplepopulationandcommunity/healthandsocialcare/healthandwellbeing/articles/middleagedgenerationmostlikelytodiebysuicideanddrugpoisoning/2019-08-13" TargetMode="External"/><Relationship Id="rId15" Type="http://schemas.openxmlformats.org/officeDocument/2006/relationships/hyperlink" Target="https://www.samaritans.org/about-samaritans/media-guidelines/" TargetMode="External"/><Relationship Id="rId10" Type="http://schemas.openxmlformats.org/officeDocument/2006/relationships/hyperlink" Target="https://www.ons.gov.uk/peoplepopulationandcommunity/birthsdeathsandmarriages/deaths/bulletins/suicidesintheunitedkingdom/latest" TargetMode="External"/><Relationship Id="rId19" Type="http://schemas.openxmlformats.org/officeDocument/2006/relationships/printerSettings" Target="../printerSettings/printerSettings2.bin"/><Relationship Id="rId4" Type="http://schemas.openxmlformats.org/officeDocument/2006/relationships/hyperlink" Target="https://www.ons.gov.uk/peoplepopulationandcommunity/birthsdeathsandmarriages/deaths/articles/whoismostatriskofsuicide/2017-09-07" TargetMode="External"/><Relationship Id="rId9" Type="http://schemas.openxmlformats.org/officeDocument/2006/relationships/hyperlink" Target="https://www.ons.gov.uk/peoplepopulationandcommunity/birthsdeathsandmarriages/deaths/bulletins/quarterlysuicidedeathregistrationsinengland/latest" TargetMode="External"/><Relationship Id="rId14" Type="http://schemas.openxmlformats.org/officeDocument/2006/relationships/hyperlink" Target="https://www.nisra.gov.uk/publications/quality-assurance-administrative-data-qaad-deaths-data-northern-ireland"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view.officeapps.live.com/op/view.aspx?src=https%3A%2F%2Fwww.nisra.gov.uk%2Fsystem%2Ffiles%2Fstatistics%2Fcensus-2021-ms-a30.xlsx&amp;wdOrigin=BROWSELIN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showGridLines="0" tabSelected="1" workbookViewId="0"/>
  </sheetViews>
  <sheetFormatPr defaultColWidth="8.5703125" defaultRowHeight="12.75" x14ac:dyDescent="0.2"/>
  <cols>
    <col min="1" max="1" width="165.5703125" style="27" customWidth="1"/>
    <col min="2" max="16384" width="8.5703125" style="27"/>
  </cols>
  <sheetData>
    <row r="1" spans="1:2" ht="19.5" customHeight="1" x14ac:dyDescent="0.35">
      <c r="A1" s="30" t="s">
        <v>220</v>
      </c>
    </row>
    <row r="2" spans="1:2" ht="15.75" x14ac:dyDescent="0.25">
      <c r="A2" s="15" t="s">
        <v>230</v>
      </c>
    </row>
    <row r="3" spans="1:2" ht="15.75" x14ac:dyDescent="0.25">
      <c r="A3" s="23" t="s">
        <v>221</v>
      </c>
    </row>
    <row r="4" spans="1:2" ht="15.75" x14ac:dyDescent="0.25">
      <c r="A4" s="15" t="s">
        <v>222</v>
      </c>
    </row>
    <row r="5" spans="1:2" ht="25.5" customHeight="1" x14ac:dyDescent="0.25">
      <c r="A5" s="15" t="s">
        <v>202</v>
      </c>
    </row>
    <row r="6" spans="1:2" s="91" customFormat="1" ht="14.1" customHeight="1" x14ac:dyDescent="0.2">
      <c r="A6" s="99" t="s">
        <v>244</v>
      </c>
    </row>
    <row r="7" spans="1:2" ht="25.5" customHeight="1" x14ac:dyDescent="0.25">
      <c r="A7" s="15" t="s">
        <v>214</v>
      </c>
    </row>
    <row r="8" spans="1:2" ht="17.850000000000001" customHeight="1" x14ac:dyDescent="0.2">
      <c r="A8" s="117" t="s">
        <v>203</v>
      </c>
    </row>
    <row r="9" spans="1:2" customFormat="1" ht="36.75" customHeight="1" thickBot="1" x14ac:dyDescent="0.3">
      <c r="A9" s="102" t="s">
        <v>204</v>
      </c>
      <c r="B9" s="103"/>
    </row>
    <row r="10" spans="1:2" customFormat="1" ht="25.5" customHeight="1" thickTop="1" x14ac:dyDescent="0.25">
      <c r="A10" s="116" t="s">
        <v>177</v>
      </c>
    </row>
    <row r="11" spans="1:2" customFormat="1" ht="45.75" customHeight="1" x14ac:dyDescent="0.25">
      <c r="A11" s="116" t="s">
        <v>205</v>
      </c>
      <c r="B11" s="103"/>
    </row>
    <row r="12" spans="1:2" customFormat="1" ht="41.25" customHeight="1" x14ac:dyDescent="0.25">
      <c r="A12" s="116" t="s">
        <v>212</v>
      </c>
      <c r="B12" s="103"/>
    </row>
    <row r="13" spans="1:2" customFormat="1" ht="30" customHeight="1" x14ac:dyDescent="0.25">
      <c r="A13" s="122" t="s">
        <v>213</v>
      </c>
      <c r="B13" s="103"/>
    </row>
    <row r="14" spans="1:2" customFormat="1" ht="43.5" customHeight="1" x14ac:dyDescent="0.25">
      <c r="A14" s="122" t="s">
        <v>206</v>
      </c>
      <c r="B14" s="103"/>
    </row>
    <row r="15" spans="1:2" customFormat="1" ht="25.5" customHeight="1" x14ac:dyDescent="0.2">
      <c r="A15" s="117" t="s">
        <v>207</v>
      </c>
      <c r="B15" s="103"/>
    </row>
    <row r="16" spans="1:2" customFormat="1" ht="23.1" customHeight="1" x14ac:dyDescent="0.25">
      <c r="A16" s="118" t="s">
        <v>208</v>
      </c>
      <c r="B16" s="103"/>
    </row>
    <row r="17" spans="1:2" customFormat="1" ht="15.75" x14ac:dyDescent="0.25">
      <c r="A17" s="118" t="s">
        <v>209</v>
      </c>
      <c r="B17" s="103"/>
    </row>
    <row r="18" spans="1:2" customFormat="1" ht="28.5" customHeight="1" thickBot="1" x14ac:dyDescent="0.35">
      <c r="A18" s="104" t="s">
        <v>84</v>
      </c>
      <c r="B18" s="103"/>
    </row>
    <row r="19" spans="1:2" customFormat="1" ht="16.5" thickTop="1" x14ac:dyDescent="0.25">
      <c r="A19" s="119" t="s">
        <v>85</v>
      </c>
      <c r="B19" s="103"/>
    </row>
    <row r="20" spans="1:2" customFormat="1" ht="15.75" x14ac:dyDescent="0.25">
      <c r="A20" s="119" t="s">
        <v>86</v>
      </c>
      <c r="B20" s="103"/>
    </row>
    <row r="21" spans="1:2" customFormat="1" ht="15.75" x14ac:dyDescent="0.25">
      <c r="A21" s="119" t="s">
        <v>87</v>
      </c>
      <c r="B21" s="103"/>
    </row>
    <row r="22" spans="1:2" customFormat="1" ht="15.75" x14ac:dyDescent="0.25">
      <c r="A22" s="119" t="s">
        <v>88</v>
      </c>
      <c r="B22" s="103"/>
    </row>
    <row r="23" spans="1:2" customFormat="1" ht="15.75" x14ac:dyDescent="0.25">
      <c r="A23" s="119" t="s">
        <v>89</v>
      </c>
      <c r="B23" s="103"/>
    </row>
    <row r="24" spans="1:2" customFormat="1" ht="15.75" x14ac:dyDescent="0.25">
      <c r="A24" s="119" t="s">
        <v>90</v>
      </c>
      <c r="B24" s="103"/>
    </row>
    <row r="25" spans="1:2" customFormat="1" ht="15.75" x14ac:dyDescent="0.25">
      <c r="A25" s="120" t="s">
        <v>91</v>
      </c>
      <c r="B25" s="103"/>
    </row>
    <row r="26" spans="1:2" s="29" customFormat="1" ht="19.5" customHeight="1" x14ac:dyDescent="0.25">
      <c r="A26" s="121" t="s">
        <v>92</v>
      </c>
      <c r="B26" s="103"/>
    </row>
    <row r="27" spans="1:2" customFormat="1" ht="22.5" customHeight="1" x14ac:dyDescent="0.25">
      <c r="A27" s="222" t="s">
        <v>223</v>
      </c>
      <c r="B27" s="91"/>
    </row>
    <row r="28" spans="1:2" customFormat="1" ht="37.5" customHeight="1" thickBot="1" x14ac:dyDescent="0.35">
      <c r="A28" s="104" t="s">
        <v>93</v>
      </c>
      <c r="B28" s="103"/>
    </row>
    <row r="29" spans="1:2" customFormat="1" ht="16.5" thickTop="1" x14ac:dyDescent="0.25">
      <c r="A29" s="119" t="s">
        <v>94</v>
      </c>
      <c r="B29" s="105"/>
    </row>
    <row r="30" spans="1:2" customFormat="1" ht="15.75" x14ac:dyDescent="0.25">
      <c r="A30" s="119" t="s">
        <v>210</v>
      </c>
      <c r="B30" s="103"/>
    </row>
    <row r="31" spans="1:2" s="29" customFormat="1" ht="15.75" x14ac:dyDescent="0.25">
      <c r="A31" s="121" t="s">
        <v>211</v>
      </c>
      <c r="B31" s="103"/>
    </row>
    <row r="32" spans="1:2" customFormat="1" ht="29.25" customHeight="1" x14ac:dyDescent="0.25">
      <c r="A32" s="118" t="s">
        <v>95</v>
      </c>
    </row>
    <row r="33" spans="1:1" s="29" customFormat="1" ht="15.75" x14ac:dyDescent="0.25">
      <c r="A33" s="121" t="s">
        <v>96</v>
      </c>
    </row>
    <row r="34" spans="1:1" customFormat="1" x14ac:dyDescent="0.2">
      <c r="A34" s="87"/>
    </row>
  </sheetData>
  <hyperlinks>
    <hyperlink ref="A8" r:id="rId1" xr:uid="{CDFCACEA-180B-4E00-95F1-F6868AE7F961}"/>
    <hyperlink ref="A15" r:id="rId2" xr:uid="{2BD01A5E-6E63-4E13-ACEF-EC62134F1201}"/>
    <hyperlink ref="A26" r:id="rId3" xr:uid="{7147EA0B-EF6B-4D92-90B8-CD659B902EEE}"/>
    <hyperlink ref="A31" r:id="rId4" xr:uid="{7FC364F2-A5D9-4594-A0FA-A1B248695B1D}"/>
    <hyperlink ref="A33" r:id="rId5" xr:uid="{D19E79F7-3BC3-40ED-A5BA-97666DB08579}"/>
    <hyperlink ref="A6" r:id="rId6" display="Quality Assurance of Administrative Data (QAAD) for Deaths Data in Northern Ireland " xr:uid="{88F92489-6CF9-47F4-9344-38FBA74D5D62}"/>
  </hyperlinks>
  <pageMargins left="0.7" right="0.7" top="0.75" bottom="0.75" header="0.3" footer="0.3"/>
  <pageSetup orientation="portrait" horizontalDpi="90" verticalDpi="90"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7"/>
  <sheetViews>
    <sheetView showGridLines="0" workbookViewId="0"/>
  </sheetViews>
  <sheetFormatPr defaultColWidth="8.5703125" defaultRowHeight="12.75" x14ac:dyDescent="0.2"/>
  <cols>
    <col min="1" max="1" width="12.85546875" style="35" customWidth="1"/>
    <col min="2" max="2" width="38.42578125" style="35" customWidth="1"/>
    <col min="3" max="3" width="39.5703125" style="35" customWidth="1"/>
    <col min="4" max="4" width="10.42578125" style="35" customWidth="1"/>
    <col min="5" max="16384" width="8.5703125" style="35"/>
  </cols>
  <sheetData>
    <row r="1" spans="1:7" ht="20.85" customHeight="1" x14ac:dyDescent="0.2">
      <c r="A1" s="41" t="s">
        <v>97</v>
      </c>
      <c r="B1" s="36"/>
      <c r="C1" s="36"/>
      <c r="E1" s="31"/>
      <c r="F1" s="31"/>
      <c r="G1" s="38"/>
    </row>
    <row r="2" spans="1:7" s="37" customFormat="1" ht="15.75" customHeight="1" x14ac:dyDescent="0.25">
      <c r="A2" s="15" t="s">
        <v>117</v>
      </c>
      <c r="B2" s="19"/>
      <c r="C2" s="19"/>
      <c r="D2" s="19"/>
    </row>
    <row r="3" spans="1:7" s="15" customFormat="1" ht="15.75" customHeight="1" x14ac:dyDescent="0.25">
      <c r="A3" s="15" t="s">
        <v>129</v>
      </c>
    </row>
    <row r="4" spans="1:7" s="15" customFormat="1" ht="15.75" customHeight="1" x14ac:dyDescent="0.25">
      <c r="A4" s="43" t="s">
        <v>242</v>
      </c>
    </row>
    <row r="5" spans="1:7" s="15" customFormat="1" ht="15.75" customHeight="1" x14ac:dyDescent="0.25">
      <c r="A5" s="15" t="s">
        <v>118</v>
      </c>
    </row>
    <row r="6" spans="1:7" s="15" customFormat="1" ht="28.35" customHeight="1" x14ac:dyDescent="0.25">
      <c r="A6" s="15" t="s">
        <v>137</v>
      </c>
    </row>
    <row r="7" spans="1:7" s="15" customFormat="1" ht="15.6" customHeight="1" x14ac:dyDescent="0.25">
      <c r="A7" s="15" t="s">
        <v>251</v>
      </c>
    </row>
    <row r="8" spans="1:7" s="15" customFormat="1" ht="15.75" x14ac:dyDescent="0.25">
      <c r="A8" s="15" t="s">
        <v>233</v>
      </c>
    </row>
    <row r="9" spans="1:7" s="15" customFormat="1" ht="27.6" customHeight="1" x14ac:dyDescent="0.25">
      <c r="A9" s="233" t="s">
        <v>130</v>
      </c>
      <c r="B9" s="234"/>
      <c r="C9" s="234"/>
      <c r="D9" s="235"/>
    </row>
    <row r="10" spans="1:7" ht="15.75" customHeight="1" thickBot="1" x14ac:dyDescent="0.25">
      <c r="A10" s="438" t="s">
        <v>98</v>
      </c>
      <c r="B10" s="439" t="s">
        <v>99</v>
      </c>
      <c r="C10" s="438" t="s">
        <v>100</v>
      </c>
    </row>
    <row r="11" spans="1:7" ht="15.75" customHeight="1" x14ac:dyDescent="0.2">
      <c r="A11" s="437" t="s">
        <v>81</v>
      </c>
      <c r="B11" s="49" t="s">
        <v>80</v>
      </c>
      <c r="C11" s="437" t="s">
        <v>101</v>
      </c>
    </row>
    <row r="12" spans="1:7" ht="15.75" customHeight="1" x14ac:dyDescent="0.2">
      <c r="A12" s="437" t="s">
        <v>82</v>
      </c>
      <c r="B12" s="49" t="s">
        <v>102</v>
      </c>
      <c r="C12" s="440" t="s">
        <v>231</v>
      </c>
    </row>
    <row r="13" spans="1:7" s="27" customFormat="1" ht="30.75" customHeight="1" x14ac:dyDescent="0.25">
      <c r="A13" s="20" t="s">
        <v>198</v>
      </c>
      <c r="B13" s="15"/>
      <c r="C13" s="33"/>
    </row>
    <row r="14" spans="1:7" ht="15.75" customHeight="1" x14ac:dyDescent="0.2">
      <c r="A14" s="19" t="s">
        <v>234</v>
      </c>
      <c r="B14" s="19"/>
      <c r="C14" s="52"/>
    </row>
    <row r="15" spans="1:7" ht="15.75" customHeight="1" x14ac:dyDescent="0.2">
      <c r="A15" s="19" t="s">
        <v>322</v>
      </c>
      <c r="B15" s="19"/>
      <c r="C15" s="52"/>
    </row>
    <row r="16" spans="1:7" ht="15.75" customHeight="1" x14ac:dyDescent="0.2">
      <c r="A16" s="19" t="s">
        <v>253</v>
      </c>
      <c r="B16" s="19"/>
      <c r="C16" s="52"/>
    </row>
    <row r="17" spans="1:14" ht="15.75" customHeight="1" x14ac:dyDescent="0.2">
      <c r="A17" s="19" t="s">
        <v>254</v>
      </c>
    </row>
    <row r="18" spans="1:14" ht="15.75" customHeight="1" x14ac:dyDescent="0.2">
      <c r="A18" s="19" t="s">
        <v>255</v>
      </c>
      <c r="B18" s="19"/>
      <c r="C18" s="52"/>
    </row>
    <row r="19" spans="1:14" ht="15.75" customHeight="1" x14ac:dyDescent="0.2">
      <c r="A19" s="19" t="s">
        <v>256</v>
      </c>
      <c r="B19" s="19"/>
      <c r="C19" s="52"/>
    </row>
    <row r="20" spans="1:14" s="27" customFormat="1" ht="26.45" customHeight="1" x14ac:dyDescent="0.25">
      <c r="A20" s="15" t="s">
        <v>257</v>
      </c>
      <c r="B20" s="15"/>
      <c r="C20" s="244"/>
      <c r="D20" s="42"/>
      <c r="E20" s="245"/>
      <c r="F20" s="245"/>
      <c r="G20" s="245"/>
      <c r="H20" s="245"/>
      <c r="I20" s="245"/>
      <c r="J20" s="245"/>
      <c r="K20" s="245"/>
      <c r="L20" s="42"/>
      <c r="M20" s="47"/>
      <c r="N20" s="232"/>
    </row>
    <row r="21" spans="1:14" ht="15.75" customHeight="1" x14ac:dyDescent="0.2">
      <c r="A21" s="99" t="s">
        <v>240</v>
      </c>
      <c r="B21" s="19"/>
      <c r="C21" s="52"/>
      <c r="D21" s="221"/>
      <c r="E21" s="221"/>
      <c r="F21" s="221"/>
      <c r="G21" s="221"/>
      <c r="H21" s="221"/>
      <c r="I21" s="221"/>
      <c r="J21" s="221"/>
    </row>
    <row r="22" spans="1:14" s="27" customFormat="1" ht="27" customHeight="1" x14ac:dyDescent="0.25">
      <c r="A22" s="20" t="s">
        <v>138</v>
      </c>
    </row>
    <row r="23" spans="1:14" s="15" customFormat="1" ht="15.75" customHeight="1" x14ac:dyDescent="0.25">
      <c r="A23" s="15" t="s">
        <v>139</v>
      </c>
    </row>
    <row r="24" spans="1:14" s="15" customFormat="1" ht="15.75" customHeight="1" x14ac:dyDescent="0.25">
      <c r="A24" s="15" t="s">
        <v>140</v>
      </c>
    </row>
    <row r="25" spans="1:14" s="15" customFormat="1" ht="15.75" customHeight="1" x14ac:dyDescent="0.25">
      <c r="A25" s="15" t="s">
        <v>141</v>
      </c>
    </row>
    <row r="26" spans="1:14" s="15" customFormat="1" ht="15.75" customHeight="1" x14ac:dyDescent="0.25">
      <c r="A26" s="15" t="s">
        <v>194</v>
      </c>
    </row>
    <row r="27" spans="1:14" s="15" customFormat="1" ht="15.75" customHeight="1" x14ac:dyDescent="0.25">
      <c r="A27" s="15" t="s">
        <v>142</v>
      </c>
    </row>
    <row r="28" spans="1:14" s="15" customFormat="1" ht="15.75" customHeight="1" x14ac:dyDescent="0.25">
      <c r="A28" s="15" t="s">
        <v>143</v>
      </c>
    </row>
    <row r="29" spans="1:14" ht="15.75" customHeight="1" x14ac:dyDescent="0.25">
      <c r="A29" s="43" t="s">
        <v>239</v>
      </c>
    </row>
    <row r="30" spans="1:14" s="19" customFormat="1" ht="22.5" customHeight="1" x14ac:dyDescent="0.25">
      <c r="A30" s="20" t="s">
        <v>144</v>
      </c>
    </row>
    <row r="31" spans="1:14" s="19" customFormat="1" ht="17.850000000000001" customHeight="1" x14ac:dyDescent="0.25">
      <c r="A31" s="99" t="s">
        <v>243</v>
      </c>
      <c r="B31" s="15"/>
      <c r="C31" s="15"/>
    </row>
    <row r="32" spans="1:14" s="19" customFormat="1" ht="15.75" x14ac:dyDescent="0.2">
      <c r="A32" s="19" t="s">
        <v>215</v>
      </c>
      <c r="B32" s="50"/>
      <c r="C32" s="50"/>
    </row>
    <row r="33" spans="1:13" s="27" customFormat="1" ht="29.1" customHeight="1" x14ac:dyDescent="0.25">
      <c r="A33" s="20" t="s">
        <v>127</v>
      </c>
    </row>
    <row r="34" spans="1:13" s="51" customFormat="1" ht="15.75" x14ac:dyDescent="0.2">
      <c r="A34" s="236" t="s">
        <v>128</v>
      </c>
      <c r="B34" s="240" t="s">
        <v>235</v>
      </c>
      <c r="C34" s="237"/>
      <c r="D34" s="238"/>
      <c r="E34" s="238"/>
      <c r="F34" s="238"/>
      <c r="G34" s="238"/>
      <c r="H34" s="238"/>
      <c r="I34" s="238"/>
      <c r="J34" s="238"/>
      <c r="K34" s="238"/>
    </row>
    <row r="35" spans="1:13" s="51" customFormat="1" ht="15.75" x14ac:dyDescent="0.2">
      <c r="A35" s="51" t="s">
        <v>103</v>
      </c>
      <c r="B35" s="240" t="s">
        <v>104</v>
      </c>
      <c r="C35" s="237"/>
      <c r="D35" s="239"/>
      <c r="E35" s="238"/>
      <c r="F35" s="238"/>
      <c r="G35" s="238"/>
      <c r="H35" s="238"/>
      <c r="I35" s="238"/>
    </row>
    <row r="36" spans="1:13" s="51" customFormat="1" ht="15.75" x14ac:dyDescent="0.2">
      <c r="A36" s="53" t="s">
        <v>105</v>
      </c>
      <c r="B36" s="240" t="s">
        <v>236</v>
      </c>
      <c r="C36" s="237"/>
      <c r="D36" s="239"/>
      <c r="E36" s="238"/>
      <c r="F36" s="238"/>
      <c r="G36" s="238"/>
      <c r="H36" s="238"/>
    </row>
    <row r="37" spans="1:13" s="51" customFormat="1" ht="15.75" x14ac:dyDescent="0.2">
      <c r="A37" s="53" t="s">
        <v>106</v>
      </c>
      <c r="B37" s="240" t="s">
        <v>107</v>
      </c>
      <c r="C37" s="241"/>
      <c r="D37" s="241"/>
      <c r="E37" s="242"/>
      <c r="F37" s="242"/>
      <c r="G37" s="242"/>
      <c r="H37" s="242"/>
    </row>
    <row r="38" spans="1:13" s="51" customFormat="1" ht="15.75" x14ac:dyDescent="0.2">
      <c r="A38" s="53" t="s">
        <v>108</v>
      </c>
      <c r="B38" s="240" t="s">
        <v>109</v>
      </c>
      <c r="C38" s="241"/>
      <c r="D38" s="241"/>
      <c r="E38" s="242"/>
      <c r="F38" s="242"/>
      <c r="G38" s="242"/>
      <c r="H38" s="242"/>
    </row>
    <row r="39" spans="1:13" s="51" customFormat="1" ht="15.75" customHeight="1" x14ac:dyDescent="0.2">
      <c r="A39" s="53" t="s">
        <v>110</v>
      </c>
      <c r="B39" s="240" t="s">
        <v>111</v>
      </c>
      <c r="C39" s="239"/>
      <c r="D39" s="239"/>
      <c r="E39" s="238"/>
      <c r="F39" s="238"/>
      <c r="G39" s="238"/>
      <c r="H39" s="238"/>
      <c r="K39" s="48"/>
      <c r="L39" s="238"/>
      <c r="M39" s="238"/>
    </row>
    <row r="40" spans="1:13" s="51" customFormat="1" ht="15.75" customHeight="1" x14ac:dyDescent="0.2">
      <c r="A40" s="53" t="s">
        <v>110</v>
      </c>
      <c r="B40" s="240" t="s">
        <v>237</v>
      </c>
      <c r="C40" s="239"/>
      <c r="D40" s="239"/>
      <c r="E40" s="238"/>
      <c r="F40" s="238"/>
      <c r="G40" s="238"/>
      <c r="H40" s="238"/>
    </row>
    <row r="41" spans="1:13" s="51" customFormat="1" ht="15.75" customHeight="1" x14ac:dyDescent="0.2">
      <c r="A41" s="53" t="s">
        <v>110</v>
      </c>
      <c r="B41" s="240" t="s">
        <v>112</v>
      </c>
      <c r="C41" s="239"/>
      <c r="D41" s="239"/>
      <c r="E41" s="238"/>
      <c r="F41" s="238"/>
      <c r="G41" s="238"/>
      <c r="H41" s="238"/>
    </row>
    <row r="42" spans="1:13" s="51" customFormat="1" ht="15.75" customHeight="1" x14ac:dyDescent="0.2">
      <c r="A42" s="53" t="s">
        <v>110</v>
      </c>
      <c r="B42" s="240" t="s">
        <v>238</v>
      </c>
      <c r="C42" s="239"/>
      <c r="D42" s="239"/>
      <c r="E42" s="238"/>
      <c r="F42" s="238"/>
      <c r="G42" s="238"/>
      <c r="H42" s="238"/>
    </row>
    <row r="43" spans="1:13" s="51" customFormat="1" ht="15.75" customHeight="1" x14ac:dyDescent="0.2">
      <c r="A43" s="53" t="s">
        <v>110</v>
      </c>
      <c r="B43" s="240" t="s">
        <v>113</v>
      </c>
      <c r="C43" s="239"/>
      <c r="D43" s="239"/>
      <c r="E43" s="238"/>
      <c r="F43" s="238"/>
      <c r="G43" s="238"/>
      <c r="H43" s="238"/>
    </row>
    <row r="44" spans="1:13" s="51" customFormat="1" ht="15.75" customHeight="1" x14ac:dyDescent="0.2">
      <c r="A44" s="53" t="s">
        <v>110</v>
      </c>
      <c r="B44" s="240" t="s">
        <v>114</v>
      </c>
      <c r="C44" s="239"/>
      <c r="D44" s="239"/>
      <c r="E44" s="238"/>
      <c r="F44" s="238"/>
      <c r="G44" s="238"/>
      <c r="H44" s="238"/>
    </row>
    <row r="45" spans="1:13" s="51" customFormat="1" ht="15.75" customHeight="1" x14ac:dyDescent="0.2">
      <c r="A45" s="53" t="s">
        <v>110</v>
      </c>
      <c r="B45" s="240" t="s">
        <v>115</v>
      </c>
      <c r="C45" s="239"/>
      <c r="D45" s="239"/>
      <c r="E45" s="238"/>
      <c r="F45" s="238"/>
      <c r="G45" s="238"/>
      <c r="H45" s="238"/>
    </row>
    <row r="46" spans="1:13" s="51" customFormat="1" ht="15.75" customHeight="1" x14ac:dyDescent="0.2">
      <c r="A46" s="53" t="s">
        <v>110</v>
      </c>
      <c r="B46" s="240" t="s">
        <v>116</v>
      </c>
      <c r="C46" s="239"/>
      <c r="D46" s="239"/>
      <c r="E46" s="238"/>
      <c r="F46" s="238"/>
      <c r="G46" s="238"/>
      <c r="H46" s="238"/>
    </row>
    <row r="47" spans="1:13" ht="15.75" customHeight="1" x14ac:dyDescent="0.2"/>
  </sheetData>
  <hyperlinks>
    <hyperlink ref="B39" r:id="rId1" xr:uid="{00000000-0004-0000-0100-000000000000}"/>
    <hyperlink ref="B37" r:id="rId2" xr:uid="{00000000-0004-0000-0100-000002000000}"/>
    <hyperlink ref="B38" r:id="rId3" xr:uid="{00000000-0004-0000-0100-000004000000}"/>
    <hyperlink ref="B44" r:id="rId4" xr:uid="{00000000-0004-0000-0100-000005000000}"/>
    <hyperlink ref="B43" r:id="rId5" xr:uid="{00000000-0004-0000-0100-000006000000}"/>
    <hyperlink ref="B41" r:id="rId6" xr:uid="{00000000-0004-0000-0100-000008000000}"/>
    <hyperlink ref="B45" r:id="rId7" xr:uid="{00000000-0004-0000-0100-000009000000}"/>
    <hyperlink ref="B46" r:id="rId8" xr:uid="{00000000-0004-0000-0100-00000A000000}"/>
    <hyperlink ref="B35" r:id="rId9" xr:uid="{00000000-0004-0000-0100-00000B000000}"/>
    <hyperlink ref="A34" r:id="rId10" display="Suicide registrations in the UK" xr:uid="{00000000-0004-0000-0100-00000E000000}"/>
    <hyperlink ref="B34" r:id="rId11" xr:uid="{00000000-0004-0000-0100-00000F000000}"/>
    <hyperlink ref="A26" r:id="rId12" display="review " xr:uid="{EBCB548F-1D67-4367-9ABB-8AE28C71ABD4}"/>
    <hyperlink ref="A29" r:id="rId13" display="User Guide for Suicide Statistics in Northern Ireland." xr:uid="{2E89A705-EBC9-4775-BA1A-239B034FB11A}"/>
    <hyperlink ref="A31" r:id="rId14" display="Quality Assurance of Administrative Data (QAAD) for Deaths Data in Northern Ireland " xr:uid="{313B5AE0-DF45-481F-B751-1A2CCEFD1E2C}"/>
    <hyperlink ref="A4" r:id="rId15" xr:uid="{00000000-0004-0000-0100-00000C000000}"/>
    <hyperlink ref="A21" location="'Figure 9'!A1" display="occurrence trends based on a ‘3-year rolling average" xr:uid="{A6865F11-CD30-4AE4-B872-379ADD130F4D}"/>
    <hyperlink ref="B36" r:id="rId16" display="https://www.nrscotland.gov.uk/publications/probable-suicides-2024/" xr:uid="{A20B4B2A-507E-4B8C-9D1E-D513E0074ACD}"/>
    <hyperlink ref="B40" r:id="rId17" xr:uid="{046A5A3C-C801-431A-91B8-81B380EB8582}"/>
    <hyperlink ref="B42" r:id="rId18" display="https://www.ons.gov.uk/peoplepopulationandcommunity/birthsdeathsandmarriages/deaths/articles/drugrelateddeathsandsuicideinprisoncustodyinenglandandwales/2023-01-26" xr:uid="{0F446BCA-50AB-419A-A3E2-EE8B1A83E828}"/>
  </hyperlinks>
  <pageMargins left="0.7" right="0.7" top="0.75" bottom="0.75" header="0.3" footer="0.3"/>
  <pageSetup orientation="portrait" horizontalDpi="90" verticalDpi="90" r:id="rId19"/>
  <tableParts count="1">
    <tablePart r:id="rId2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showGridLines="0" zoomScaleNormal="100" workbookViewId="0"/>
  </sheetViews>
  <sheetFormatPr defaultColWidth="9.42578125" defaultRowHeight="15.75" x14ac:dyDescent="0.25"/>
  <cols>
    <col min="1" max="1" width="13.42578125" style="8" customWidth="1"/>
    <col min="2" max="2" width="191.5703125" style="8" customWidth="1"/>
    <col min="3" max="3" width="6.140625" style="8" customWidth="1"/>
    <col min="4" max="16384" width="9.42578125" style="8"/>
  </cols>
  <sheetData>
    <row r="1" spans="1:8" ht="21" x14ac:dyDescent="0.25">
      <c r="A1" s="41" t="s">
        <v>216</v>
      </c>
      <c r="B1" s="23"/>
    </row>
    <row r="2" spans="1:8" s="56" customFormat="1" ht="24.6" customHeight="1" x14ac:dyDescent="0.25">
      <c r="A2" s="54" t="s">
        <v>146</v>
      </c>
      <c r="B2" s="54" t="s">
        <v>154</v>
      </c>
      <c r="C2" s="55"/>
    </row>
    <row r="3" spans="1:8" ht="21" customHeight="1" x14ac:dyDescent="0.25">
      <c r="A3" s="39" t="s">
        <v>53</v>
      </c>
      <c r="B3" s="40" t="s">
        <v>224</v>
      </c>
      <c r="C3" s="9"/>
    </row>
    <row r="4" spans="1:8" ht="21" customHeight="1" x14ac:dyDescent="0.25">
      <c r="A4" s="39" t="s">
        <v>148</v>
      </c>
      <c r="B4" s="40" t="s">
        <v>246</v>
      </c>
      <c r="C4" s="9"/>
    </row>
    <row r="5" spans="1:8" ht="21" customHeight="1" x14ac:dyDescent="0.25">
      <c r="A5" s="39" t="s">
        <v>54</v>
      </c>
      <c r="B5" s="40" t="s">
        <v>247</v>
      </c>
      <c r="C5" s="9"/>
      <c r="D5" s="9"/>
    </row>
    <row r="6" spans="1:8" ht="21" customHeight="1" x14ac:dyDescent="0.25">
      <c r="A6" s="39" t="s">
        <v>149</v>
      </c>
      <c r="B6" s="40" t="s">
        <v>225</v>
      </c>
      <c r="C6" s="9"/>
      <c r="D6" s="9"/>
    </row>
    <row r="7" spans="1:8" ht="21" customHeight="1" x14ac:dyDescent="0.25">
      <c r="A7" s="39" t="s">
        <v>55</v>
      </c>
      <c r="B7" s="40" t="s">
        <v>272</v>
      </c>
      <c r="C7" s="9"/>
      <c r="D7" s="7"/>
      <c r="E7" s="7"/>
      <c r="F7" s="7"/>
      <c r="G7" s="29"/>
      <c r="H7" s="29"/>
    </row>
    <row r="8" spans="1:8" ht="21" customHeight="1" x14ac:dyDescent="0.25">
      <c r="A8" s="39" t="s">
        <v>150</v>
      </c>
      <c r="B8" s="40" t="s">
        <v>259</v>
      </c>
      <c r="C8" s="9"/>
      <c r="D8"/>
      <c r="E8"/>
      <c r="F8"/>
      <c r="G8" s="31"/>
      <c r="H8" s="85"/>
    </row>
    <row r="9" spans="1:8" ht="21" customHeight="1" x14ac:dyDescent="0.25">
      <c r="A9" s="39" t="s">
        <v>56</v>
      </c>
      <c r="B9" s="40" t="s">
        <v>260</v>
      </c>
      <c r="C9" s="10"/>
    </row>
    <row r="10" spans="1:8" ht="21" customHeight="1" x14ac:dyDescent="0.25">
      <c r="A10" s="39" t="s">
        <v>151</v>
      </c>
      <c r="B10" s="40" t="s">
        <v>261</v>
      </c>
      <c r="C10" s="10"/>
    </row>
    <row r="11" spans="1:8" ht="21" customHeight="1" x14ac:dyDescent="0.25">
      <c r="A11" s="39" t="s">
        <v>57</v>
      </c>
      <c r="B11" s="40" t="s">
        <v>262</v>
      </c>
      <c r="C11" s="11"/>
    </row>
    <row r="12" spans="1:8" ht="21" customHeight="1" x14ac:dyDescent="0.25">
      <c r="A12" s="39" t="s">
        <v>172</v>
      </c>
      <c r="B12" s="40" t="s">
        <v>263</v>
      </c>
      <c r="C12" s="10"/>
      <c r="D12" s="10"/>
      <c r="E12" s="10"/>
      <c r="F12" s="10"/>
    </row>
    <row r="13" spans="1:8" ht="21" customHeight="1" x14ac:dyDescent="0.25">
      <c r="A13" s="39" t="s">
        <v>173</v>
      </c>
      <c r="B13" s="40" t="s">
        <v>248</v>
      </c>
      <c r="C13" s="11"/>
    </row>
    <row r="14" spans="1:8" ht="21" customHeight="1" x14ac:dyDescent="0.25">
      <c r="A14" s="39" t="s">
        <v>58</v>
      </c>
      <c r="B14" s="40" t="s">
        <v>286</v>
      </c>
      <c r="C14" s="10"/>
      <c r="D14" s="10"/>
      <c r="E14" s="10"/>
    </row>
    <row r="15" spans="1:8" ht="21" customHeight="1" x14ac:dyDescent="0.25">
      <c r="A15" s="39" t="s">
        <v>174</v>
      </c>
      <c r="B15" s="40" t="s">
        <v>226</v>
      </c>
      <c r="C15" s="10"/>
      <c r="D15" s="10"/>
      <c r="E15" s="10"/>
    </row>
    <row r="16" spans="1:8" ht="21" customHeight="1" x14ac:dyDescent="0.25">
      <c r="A16" s="39" t="s">
        <v>59</v>
      </c>
      <c r="B16" s="40" t="s">
        <v>264</v>
      </c>
      <c r="C16" s="10"/>
      <c r="D16" s="10"/>
      <c r="E16" s="10"/>
    </row>
    <row r="17" spans="1:6" ht="21" customHeight="1" x14ac:dyDescent="0.25">
      <c r="A17" s="39" t="s">
        <v>60</v>
      </c>
      <c r="B17" s="40" t="s">
        <v>265</v>
      </c>
      <c r="C17" s="10"/>
      <c r="D17" s="10"/>
      <c r="E17" s="10"/>
    </row>
    <row r="18" spans="1:6" ht="21" customHeight="1" x14ac:dyDescent="0.25">
      <c r="A18" s="40" t="s">
        <v>61</v>
      </c>
      <c r="B18" s="40" t="s">
        <v>249</v>
      </c>
      <c r="C18" s="11"/>
      <c r="D18" s="11"/>
      <c r="E18" s="11"/>
      <c r="F18" s="11"/>
    </row>
    <row r="19" spans="1:6" ht="21" customHeight="1" x14ac:dyDescent="0.25">
      <c r="A19" s="40" t="s">
        <v>134</v>
      </c>
      <c r="B19" s="40" t="s">
        <v>284</v>
      </c>
      <c r="C19" s="11"/>
      <c r="D19" s="11"/>
      <c r="E19" s="11"/>
      <c r="F19" s="11"/>
    </row>
    <row r="20" spans="1:6" ht="21" customHeight="1" x14ac:dyDescent="0.25">
      <c r="A20" s="40" t="s">
        <v>175</v>
      </c>
      <c r="B20" s="40" t="s">
        <v>227</v>
      </c>
      <c r="C20" s="11"/>
      <c r="D20" s="11"/>
      <c r="E20" s="11"/>
      <c r="F20" s="11"/>
    </row>
    <row r="21" spans="1:6" ht="21" customHeight="1" x14ac:dyDescent="0.25">
      <c r="A21" s="39" t="s">
        <v>135</v>
      </c>
      <c r="B21" s="40" t="s">
        <v>266</v>
      </c>
      <c r="C21" s="11"/>
    </row>
    <row r="22" spans="1:6" ht="21" customHeight="1" x14ac:dyDescent="0.25">
      <c r="A22" s="39" t="s">
        <v>176</v>
      </c>
      <c r="B22" s="40" t="s">
        <v>267</v>
      </c>
      <c r="C22" s="11"/>
    </row>
    <row r="23" spans="1:6" ht="21" customHeight="1" x14ac:dyDescent="0.25">
      <c r="A23" s="39" t="s">
        <v>136</v>
      </c>
      <c r="B23" s="40" t="s">
        <v>268</v>
      </c>
      <c r="C23" s="11"/>
    </row>
    <row r="24" spans="1:6" ht="21" customHeight="1" x14ac:dyDescent="0.25">
      <c r="A24" s="39" t="s">
        <v>152</v>
      </c>
      <c r="B24" s="40" t="s">
        <v>269</v>
      </c>
      <c r="C24" s="11"/>
    </row>
    <row r="25" spans="1:6" s="113" customFormat="1" ht="18" customHeight="1" x14ac:dyDescent="0.25">
      <c r="A25" s="441" t="s">
        <v>153</v>
      </c>
      <c r="B25" s="442" t="s">
        <v>229</v>
      </c>
    </row>
    <row r="26" spans="1:6" s="113" customFormat="1" ht="18" customHeight="1" x14ac:dyDescent="0.25">
      <c r="A26" s="441" t="s">
        <v>200</v>
      </c>
      <c r="B26" s="442" t="s">
        <v>270</v>
      </c>
    </row>
    <row r="27" spans="1:6" s="113" customFormat="1" ht="18" customHeight="1" x14ac:dyDescent="0.25">
      <c r="A27" s="441" t="s">
        <v>170</v>
      </c>
      <c r="B27" s="442" t="s">
        <v>285</v>
      </c>
    </row>
    <row r="28" spans="1:6" s="114" customFormat="1" ht="19.5" customHeight="1" x14ac:dyDescent="0.25">
      <c r="A28" s="441" t="s">
        <v>199</v>
      </c>
      <c r="B28" s="442" t="s">
        <v>271</v>
      </c>
    </row>
    <row r="30" spans="1:6" x14ac:dyDescent="0.25">
      <c r="B30" s="15"/>
    </row>
    <row r="31" spans="1:6" x14ac:dyDescent="0.25">
      <c r="B31" s="44"/>
    </row>
  </sheetData>
  <phoneticPr fontId="63" type="noConversion"/>
  <hyperlinks>
    <hyperlink ref="B3" location="Table1!A1" display="Number of Suicides Registered in Northern Ireland by Sex, 2018-2020" xr:uid="{00000000-0004-0000-0200-000000000000}"/>
    <hyperlink ref="B18" location="Table11!A1" display="Number of Deaths From Suicide Registered in Northern Ireland by NI Multiple Deprivation Measure (2017), 2013-2022" xr:uid="{00000000-0004-0000-0200-000001000000}"/>
    <hyperlink ref="B17" location="Table10!A1" display="Number of Deaths From Suicide Registered in Northern Ireland by Urban Rural Classification, 2013-2022" xr:uid="{00000000-0004-0000-0200-000002000000}"/>
    <hyperlink ref="B16" location="Table9!A1" display="Number of Deaths from Suicide Registered in Northern Ireland by Parliamentary Constituency, 2013-2022" xr:uid="{00000000-0004-0000-0200-000003000000}"/>
    <hyperlink ref="B14" location="Table8!A1" display="Number of Suicides Registered, suicide and Age-Standardised Rate per 100,000 Population in Northern Ireland by Health by Social Care Trust, 2013-2022" xr:uid="{00000000-0004-0000-0200-000004000000}"/>
    <hyperlink ref="B12" location="Table6!A1" display="Number of Suicides Registered in Northern Ireland by Local Government Districts, 2013-2022" xr:uid="{00000000-0004-0000-0200-000005000000}"/>
    <hyperlink ref="B11" location="Table5!A1" display="Suicides by Year of Registration and Year of Occurrence, 2013-2022" xr:uid="{00000000-0004-0000-0200-000006000000}"/>
    <hyperlink ref="B5" location="Table2!A1" display="Number of Suicides Registered in Northern Ireland by Sex and Age, 2018-2020" xr:uid="{00000000-0004-0000-0200-000007000000}"/>
    <hyperlink ref="B23" location="Table14!A1" display="Number of Suicides Registered in Northern Ireland by Method of Suicide and Age, 2001-2021" xr:uid="{00000000-0004-0000-0200-000008000000}"/>
    <hyperlink ref="B21" location="Table13!A1" display="Number of Suicides Registered in Northern Ireland by Method of Suicide and Sex, 2001-2021" xr:uid="{00000000-0004-0000-0200-000009000000}"/>
    <hyperlink ref="B24" location="Table15!A1" display="Number of Suicides Registered in Northern Ireland by Method of Suicide and Health and Social Care Trust, 2012-2021" xr:uid="{00000000-0004-0000-0200-00000B000000}"/>
    <hyperlink ref="B4" location="Figure1!A1" display="Number of Suicides Registered in Northern Ireland, 2001-2021" xr:uid="{C3E16097-9CE6-4AA2-B96B-C2041A043D97}"/>
    <hyperlink ref="B6" location="Figure2!A1" display="Number of Suicides Registered in Northern Ireland by Sex and Age, 2021" xr:uid="{B0B17B5D-736F-47C6-9679-32386AEA6CA1}"/>
    <hyperlink ref="B13" location="Table7!A1" display="Number of Suicides Registered in Northern Ireland by Health and Social Care Trust and Sex, 2013-2022" xr:uid="{00000000-0004-0000-0200-00000A000000}"/>
    <hyperlink ref="B15" location="Figure5!A1" display="Number of Suicides Registered and Age-Standardised Rate per 100,000 Population in Northern Ireland by Health and Social Care Trust, 2022" xr:uid="{B10DE6CE-BB06-410F-8B7E-8D354E15C65F}"/>
    <hyperlink ref="B19" location="Table12!A1" display="Number of Suicides Registered in Northern Ireland by NI Multiple Deprivation Measure (2017) and Age-Standardised Rate per 100,000 Population, 2001-2020" xr:uid="{AD888194-93FF-4A73-9697-E9637CC7E4C7}"/>
    <hyperlink ref="B20" location="Figure6!A1" display="Number of Suicides Registered in Northern Ireland by NI Multiple Deprivation Measure (2017) and Age-Standardised Rate per 100,000 Population, 2001-2020" xr:uid="{DB267A15-508D-4AF7-BF65-FD0086DC2113}"/>
    <hyperlink ref="B22" location="Figure7!A1" display="Number of Suicides Registered in Northern Ireland by Method of Suicide, 2001-2021" xr:uid="{61F8643C-54D7-4DE6-BFFF-620CC8E22215}"/>
    <hyperlink ref="B27" location="Table17!A1" display="Age-Standardised Rate  per 100,000 Population for registered and occurring in Northern Ireland by Sex, 2012 to 2021" xr:uid="{E8921535-B46A-49A3-B8E7-392727D1E4BB}"/>
    <hyperlink ref="B25" location="Table16!A1" display="Number of Suicides Occurring in Northern Ireland by Sex, 2001-2021" xr:uid="{6922BEF5-EA1D-4EFE-BB8C-B9712FEB9D13}"/>
    <hyperlink ref="B26" location="Figure8!A1" display="Number of Suicides in Northern Ireland by Registration and Occurrence Year, 2001-2021" xr:uid="{374BA8B3-10B7-4087-9CC2-3A33EF8ACD51}"/>
    <hyperlink ref="B7" location="Table3!A1" display="Number and Mortality Rate per 100,000 Population of Suicides Registered in Northern Ireland by Marital Status, 2011 to 2022" xr:uid="{07B676AF-C20F-4277-AA48-5AB506D1FF60}"/>
    <hyperlink ref="B8" location="Figure3!A1" display="Mortality Rate per 100,000 Population of Suicides Registered in Northern Ireland by Marital Status, 2011-2022" xr:uid="{6D12BD55-EE20-4DBD-9707-C9D8E951495B}"/>
    <hyperlink ref="B9" location="Table4!A1" display="Suicide and Age-Standardised Rate (ASMR) per 100,000 Population in Northern Ireland by Sex, 2002 to 2022" xr:uid="{00000000-0004-0000-0200-00000C000000}"/>
    <hyperlink ref="B28" location="'Figure 9'!A1" display="Number of suicide deaths (3-year rolling average) in NI by Occurrence Year, 2002-2022" xr:uid="{E4F21173-96CB-410E-90AE-73AD95BE953D}"/>
    <hyperlink ref="B10" location="Figure4!A1" display="Age-Standardised Mortality Rate (ASMR) per 100,000 Population for Suicides Registered in Northern Ireland by Sex, 2004-2024" xr:uid="{EC7DDF10-D1CF-48C2-8AE9-EE9A5325FE21}"/>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755DD-D87B-4BE1-ABED-BAF298A87B14}">
  <dimension ref="A1:C21"/>
  <sheetViews>
    <sheetView showGridLines="0" workbookViewId="0"/>
  </sheetViews>
  <sheetFormatPr defaultRowHeight="12.75" x14ac:dyDescent="0.2"/>
  <cols>
    <col min="1" max="1" width="19.42578125" customWidth="1"/>
    <col min="2" max="2" width="159.5703125" customWidth="1"/>
  </cols>
  <sheetData>
    <row r="1" spans="1:3" ht="21" x14ac:dyDescent="0.35">
      <c r="A1" s="88" t="s">
        <v>178</v>
      </c>
      <c r="B1" s="89"/>
      <c r="C1" s="90"/>
    </row>
    <row r="2" spans="1:3" s="404" customFormat="1" ht="23.45" customHeight="1" x14ac:dyDescent="0.2">
      <c r="A2" s="402" t="s">
        <v>323</v>
      </c>
      <c r="B2" s="398"/>
      <c r="C2" s="403"/>
    </row>
    <row r="3" spans="1:3" s="399" customFormat="1" ht="15.75" x14ac:dyDescent="0.25">
      <c r="A3" s="400" t="s">
        <v>179</v>
      </c>
      <c r="B3" s="401" t="s">
        <v>180</v>
      </c>
    </row>
    <row r="4" spans="1:3" s="389" customFormat="1" ht="63" x14ac:dyDescent="0.2">
      <c r="A4" s="387" t="s">
        <v>181</v>
      </c>
      <c r="B4" s="388" t="s">
        <v>318</v>
      </c>
    </row>
    <row r="5" spans="1:3" s="389" customFormat="1" ht="47.25" x14ac:dyDescent="0.2">
      <c r="A5" s="390" t="s">
        <v>182</v>
      </c>
      <c r="B5" s="391" t="s">
        <v>330</v>
      </c>
    </row>
    <row r="6" spans="1:3" s="393" customFormat="1" ht="31.5" x14ac:dyDescent="0.25">
      <c r="A6" s="390" t="s">
        <v>183</v>
      </c>
      <c r="B6" s="392" t="s">
        <v>192</v>
      </c>
    </row>
    <row r="7" spans="1:3" s="393" customFormat="1" ht="31.5" x14ac:dyDescent="0.25">
      <c r="A7" s="390" t="s">
        <v>316</v>
      </c>
      <c r="B7" s="392" t="s">
        <v>289</v>
      </c>
    </row>
    <row r="8" spans="1:3" s="393" customFormat="1" ht="47.25" x14ac:dyDescent="0.25">
      <c r="A8" s="394" t="s">
        <v>184</v>
      </c>
      <c r="B8" s="395" t="s">
        <v>319</v>
      </c>
    </row>
    <row r="9" spans="1:3" s="393" customFormat="1" ht="15.75" x14ac:dyDescent="0.25">
      <c r="A9" s="396" t="s">
        <v>185</v>
      </c>
      <c r="B9" s="392" t="s">
        <v>191</v>
      </c>
    </row>
    <row r="10" spans="1:3" s="393" customFormat="1" ht="46.7" customHeight="1" x14ac:dyDescent="0.25">
      <c r="A10" s="396" t="s">
        <v>186</v>
      </c>
      <c r="B10" s="392" t="s">
        <v>252</v>
      </c>
    </row>
    <row r="11" spans="1:3" s="393" customFormat="1" ht="46.7" customHeight="1" x14ac:dyDescent="0.25">
      <c r="A11" s="396" t="s">
        <v>187</v>
      </c>
      <c r="B11" s="391" t="s">
        <v>320</v>
      </c>
    </row>
    <row r="12" spans="1:3" s="393" customFormat="1" ht="47.25" x14ac:dyDescent="0.25">
      <c r="A12" s="396" t="s">
        <v>188</v>
      </c>
      <c r="B12" s="392" t="s">
        <v>193</v>
      </c>
    </row>
    <row r="13" spans="1:3" s="393" customFormat="1" ht="31.5" x14ac:dyDescent="0.25">
      <c r="A13" s="396" t="s">
        <v>189</v>
      </c>
      <c r="B13" s="397" t="s">
        <v>321</v>
      </c>
    </row>
    <row r="14" spans="1:3" s="393" customFormat="1" ht="31.5" x14ac:dyDescent="0.25">
      <c r="A14" s="396" t="s">
        <v>190</v>
      </c>
      <c r="B14" s="391" t="s">
        <v>329</v>
      </c>
    </row>
    <row r="15" spans="1:3" s="393" customFormat="1" ht="31.5" x14ac:dyDescent="0.25">
      <c r="A15" s="396" t="s">
        <v>290</v>
      </c>
      <c r="B15" s="392" t="s">
        <v>219</v>
      </c>
    </row>
    <row r="17" spans="1:3" s="46" customFormat="1" ht="15.75" x14ac:dyDescent="0.25">
      <c r="A17" s="381"/>
      <c r="C17" s="231"/>
    </row>
    <row r="18" spans="1:3" s="46" customFormat="1" x14ac:dyDescent="0.2"/>
    <row r="19" spans="1:3" s="46" customFormat="1" x14ac:dyDescent="0.2">
      <c r="A19" s="48"/>
    </row>
    <row r="20" spans="1:3" s="46" customFormat="1" x14ac:dyDescent="0.2">
      <c r="A20" s="48"/>
    </row>
    <row r="21" spans="1:3" s="46" customFormat="1" x14ac:dyDescent="0.2"/>
  </sheetData>
  <phoneticPr fontId="93" type="noConversion"/>
  <hyperlinks>
    <hyperlink ref="B8" r:id="rId1" display="Census 2021 Marital and civil partnership status table" xr:uid="{6806C9E1-F334-419E-BA22-F904BFDD3BCB}"/>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79998168889431442"/>
  </sheetPr>
  <dimension ref="A1:H25"/>
  <sheetViews>
    <sheetView showGridLines="0" workbookViewId="0"/>
  </sheetViews>
  <sheetFormatPr defaultColWidth="9.42578125" defaultRowHeight="12.75" x14ac:dyDescent="0.2"/>
  <cols>
    <col min="1" max="1" width="19.85546875" customWidth="1"/>
    <col min="2" max="5" width="23.85546875" customWidth="1"/>
    <col min="6" max="8" width="23.42578125" customWidth="1"/>
  </cols>
  <sheetData>
    <row r="1" spans="1:8" ht="19.5" x14ac:dyDescent="0.3">
      <c r="A1" s="12" t="s">
        <v>291</v>
      </c>
    </row>
    <row r="2" spans="1:8" ht="15.75" x14ac:dyDescent="0.25">
      <c r="A2" s="97" t="s">
        <v>196</v>
      </c>
    </row>
    <row r="3" spans="1:8" ht="15.75" x14ac:dyDescent="0.25">
      <c r="A3" s="98" t="s">
        <v>197</v>
      </c>
    </row>
    <row r="4" spans="1:8" ht="80.25" customHeight="1" thickBot="1" x14ac:dyDescent="0.3">
      <c r="A4" s="459" t="s">
        <v>11</v>
      </c>
      <c r="B4" s="460" t="s">
        <v>331</v>
      </c>
      <c r="C4" s="461" t="s">
        <v>332</v>
      </c>
      <c r="D4" s="462" t="s">
        <v>333</v>
      </c>
      <c r="E4" s="460" t="s">
        <v>334</v>
      </c>
      <c r="F4" s="462" t="s">
        <v>335</v>
      </c>
      <c r="G4" s="460" t="s">
        <v>336</v>
      </c>
      <c r="H4" s="463" t="s">
        <v>337</v>
      </c>
    </row>
    <row r="5" spans="1:8" ht="16.5" customHeight="1" x14ac:dyDescent="0.25">
      <c r="A5" s="453">
        <v>2004</v>
      </c>
      <c r="B5" s="443">
        <v>146</v>
      </c>
      <c r="C5" s="444">
        <v>157.69999999999999</v>
      </c>
      <c r="D5" s="445">
        <v>128</v>
      </c>
      <c r="E5" s="443">
        <v>105</v>
      </c>
      <c r="F5" s="445">
        <v>96</v>
      </c>
      <c r="G5" s="443">
        <v>41</v>
      </c>
      <c r="H5" s="456">
        <v>32</v>
      </c>
    </row>
    <row r="6" spans="1:8" ht="16.5" customHeight="1" x14ac:dyDescent="0.25">
      <c r="A6" s="453">
        <v>2005</v>
      </c>
      <c r="B6" s="443">
        <v>213</v>
      </c>
      <c r="C6" s="444">
        <v>167.7</v>
      </c>
      <c r="D6" s="445">
        <v>186</v>
      </c>
      <c r="E6" s="443">
        <v>167</v>
      </c>
      <c r="F6" s="445">
        <v>150</v>
      </c>
      <c r="G6" s="443">
        <v>46</v>
      </c>
      <c r="H6" s="456">
        <v>36</v>
      </c>
    </row>
    <row r="7" spans="1:8" ht="16.5" customHeight="1" x14ac:dyDescent="0.25">
      <c r="A7" s="453">
        <v>2006</v>
      </c>
      <c r="B7" s="443">
        <v>291</v>
      </c>
      <c r="C7" s="444">
        <v>216.7</v>
      </c>
      <c r="D7" s="445">
        <v>249</v>
      </c>
      <c r="E7" s="443">
        <v>227</v>
      </c>
      <c r="F7" s="445">
        <v>197</v>
      </c>
      <c r="G7" s="443">
        <v>64</v>
      </c>
      <c r="H7" s="456">
        <v>52</v>
      </c>
    </row>
    <row r="8" spans="1:8" ht="16.5" customHeight="1" x14ac:dyDescent="0.25">
      <c r="A8" s="453">
        <v>2007</v>
      </c>
      <c r="B8" s="443">
        <v>242</v>
      </c>
      <c r="C8" s="444">
        <v>248.7</v>
      </c>
      <c r="D8" s="445">
        <v>215</v>
      </c>
      <c r="E8" s="443">
        <v>175</v>
      </c>
      <c r="F8" s="445">
        <v>158</v>
      </c>
      <c r="G8" s="443">
        <v>67</v>
      </c>
      <c r="H8" s="456">
        <v>57</v>
      </c>
    </row>
    <row r="9" spans="1:8" ht="16.5" customHeight="1" x14ac:dyDescent="0.25">
      <c r="A9" s="453">
        <v>2008</v>
      </c>
      <c r="B9" s="443">
        <v>282</v>
      </c>
      <c r="C9" s="444">
        <v>271.7</v>
      </c>
      <c r="D9" s="445">
        <v>252</v>
      </c>
      <c r="E9" s="443">
        <v>218</v>
      </c>
      <c r="F9" s="445">
        <v>196</v>
      </c>
      <c r="G9" s="443">
        <v>64</v>
      </c>
      <c r="H9" s="456">
        <v>56</v>
      </c>
    </row>
    <row r="10" spans="1:8" ht="16.5" customHeight="1" x14ac:dyDescent="0.25">
      <c r="A10" s="453">
        <v>2009</v>
      </c>
      <c r="B10" s="443">
        <v>260</v>
      </c>
      <c r="C10" s="444">
        <v>261.3</v>
      </c>
      <c r="D10" s="445">
        <v>220</v>
      </c>
      <c r="E10" s="443">
        <v>205</v>
      </c>
      <c r="F10" s="445">
        <v>183</v>
      </c>
      <c r="G10" s="443">
        <v>55</v>
      </c>
      <c r="H10" s="456">
        <v>37</v>
      </c>
    </row>
    <row r="11" spans="1:8" ht="16.5" customHeight="1" x14ac:dyDescent="0.25">
      <c r="A11" s="453">
        <v>2010</v>
      </c>
      <c r="B11" s="443">
        <v>313</v>
      </c>
      <c r="C11" s="444">
        <v>285</v>
      </c>
      <c r="D11" s="445">
        <v>241</v>
      </c>
      <c r="E11" s="443">
        <v>240</v>
      </c>
      <c r="F11" s="445">
        <v>186</v>
      </c>
      <c r="G11" s="443">
        <v>73</v>
      </c>
      <c r="H11" s="456">
        <v>55</v>
      </c>
    </row>
    <row r="12" spans="1:8" ht="16.5" customHeight="1" x14ac:dyDescent="0.25">
      <c r="A12" s="453">
        <v>2011</v>
      </c>
      <c r="B12" s="443">
        <v>289</v>
      </c>
      <c r="C12" s="444">
        <v>287.3</v>
      </c>
      <c r="D12" s="445">
        <v>220</v>
      </c>
      <c r="E12" s="443">
        <v>216</v>
      </c>
      <c r="F12" s="445">
        <v>173</v>
      </c>
      <c r="G12" s="443">
        <v>73</v>
      </c>
      <c r="H12" s="456">
        <v>47</v>
      </c>
    </row>
    <row r="13" spans="1:8" ht="16.5" customHeight="1" x14ac:dyDescent="0.25">
      <c r="A13" s="453">
        <v>2012</v>
      </c>
      <c r="B13" s="443">
        <v>278</v>
      </c>
      <c r="C13" s="444">
        <v>293.3</v>
      </c>
      <c r="D13" s="445">
        <v>204</v>
      </c>
      <c r="E13" s="443">
        <v>215</v>
      </c>
      <c r="F13" s="445">
        <v>165</v>
      </c>
      <c r="G13" s="443">
        <v>63</v>
      </c>
      <c r="H13" s="456">
        <v>39</v>
      </c>
    </row>
    <row r="14" spans="1:8" ht="16.5" customHeight="1" x14ac:dyDescent="0.25">
      <c r="A14" s="453">
        <v>2013</v>
      </c>
      <c r="B14" s="443">
        <v>303</v>
      </c>
      <c r="C14" s="444">
        <v>290</v>
      </c>
      <c r="D14" s="445">
        <v>243</v>
      </c>
      <c r="E14" s="443">
        <v>229</v>
      </c>
      <c r="F14" s="445">
        <v>186</v>
      </c>
      <c r="G14" s="443">
        <v>74</v>
      </c>
      <c r="H14" s="456">
        <v>57</v>
      </c>
    </row>
    <row r="15" spans="1:8" ht="16.5" customHeight="1" thickBot="1" x14ac:dyDescent="0.3">
      <c r="A15" s="454">
        <v>2014</v>
      </c>
      <c r="B15" s="446">
        <v>268</v>
      </c>
      <c r="C15" s="447">
        <v>283</v>
      </c>
      <c r="D15" s="448">
        <v>191</v>
      </c>
      <c r="E15" s="446">
        <v>207</v>
      </c>
      <c r="F15" s="448">
        <v>159</v>
      </c>
      <c r="G15" s="446">
        <v>61</v>
      </c>
      <c r="H15" s="457">
        <v>32</v>
      </c>
    </row>
    <row r="16" spans="1:8" ht="16.5" customHeight="1" x14ac:dyDescent="0.25">
      <c r="A16" s="455">
        <v>2015</v>
      </c>
      <c r="B16" s="449">
        <v>220</v>
      </c>
      <c r="C16" s="450" t="s">
        <v>258</v>
      </c>
      <c r="D16" s="451">
        <v>220</v>
      </c>
      <c r="E16" s="449">
        <v>173</v>
      </c>
      <c r="F16" s="451">
        <v>173</v>
      </c>
      <c r="G16" s="449">
        <v>47</v>
      </c>
      <c r="H16" s="458">
        <v>47</v>
      </c>
    </row>
    <row r="17" spans="1:8" ht="16.5" customHeight="1" x14ac:dyDescent="0.25">
      <c r="A17" s="455">
        <v>2016</v>
      </c>
      <c r="B17" s="449">
        <v>195</v>
      </c>
      <c r="C17" s="452" t="s">
        <v>258</v>
      </c>
      <c r="D17" s="451">
        <v>192</v>
      </c>
      <c r="E17" s="449">
        <v>149</v>
      </c>
      <c r="F17" s="451">
        <v>147</v>
      </c>
      <c r="G17" s="449">
        <v>46</v>
      </c>
      <c r="H17" s="458">
        <v>45</v>
      </c>
    </row>
    <row r="18" spans="1:8" ht="16.5" customHeight="1" x14ac:dyDescent="0.25">
      <c r="A18" s="455">
        <v>2017</v>
      </c>
      <c r="B18" s="449">
        <v>199</v>
      </c>
      <c r="C18" s="450">
        <v>204.7</v>
      </c>
      <c r="D18" s="451">
        <v>199</v>
      </c>
      <c r="E18" s="449">
        <v>151</v>
      </c>
      <c r="F18" s="451">
        <v>151</v>
      </c>
      <c r="G18" s="449">
        <v>48</v>
      </c>
      <c r="H18" s="458">
        <v>48</v>
      </c>
    </row>
    <row r="19" spans="1:8" ht="16.5" customHeight="1" x14ac:dyDescent="0.25">
      <c r="A19" s="455">
        <v>2018</v>
      </c>
      <c r="B19" s="449">
        <v>236</v>
      </c>
      <c r="C19" s="450">
        <v>210</v>
      </c>
      <c r="D19" s="451">
        <v>196</v>
      </c>
      <c r="E19" s="449">
        <v>176</v>
      </c>
      <c r="F19" s="451">
        <v>149</v>
      </c>
      <c r="G19" s="449">
        <v>60</v>
      </c>
      <c r="H19" s="458">
        <v>47</v>
      </c>
    </row>
    <row r="20" spans="1:8" s="46" customFormat="1" ht="16.5" customHeight="1" x14ac:dyDescent="0.25">
      <c r="A20" s="455">
        <v>2019</v>
      </c>
      <c r="B20" s="449">
        <v>205</v>
      </c>
      <c r="C20" s="450">
        <v>213.3</v>
      </c>
      <c r="D20" s="451">
        <v>191</v>
      </c>
      <c r="E20" s="449">
        <v>155</v>
      </c>
      <c r="F20" s="451">
        <v>148</v>
      </c>
      <c r="G20" s="449">
        <v>50</v>
      </c>
      <c r="H20" s="458">
        <v>43</v>
      </c>
    </row>
    <row r="21" spans="1:8" ht="16.5" customHeight="1" x14ac:dyDescent="0.25">
      <c r="A21" s="455">
        <v>2020</v>
      </c>
      <c r="B21" s="449">
        <v>219</v>
      </c>
      <c r="C21" s="450">
        <v>220</v>
      </c>
      <c r="D21" s="451">
        <v>219</v>
      </c>
      <c r="E21" s="449">
        <v>160</v>
      </c>
      <c r="F21" s="451">
        <v>160</v>
      </c>
      <c r="G21" s="449">
        <v>59</v>
      </c>
      <c r="H21" s="458">
        <v>59</v>
      </c>
    </row>
    <row r="22" spans="1:8" ht="15.75" x14ac:dyDescent="0.25">
      <c r="A22" s="455">
        <v>2021</v>
      </c>
      <c r="B22" s="449">
        <v>237</v>
      </c>
      <c r="C22" s="450">
        <v>220.3</v>
      </c>
      <c r="D22" s="451">
        <v>224</v>
      </c>
      <c r="E22" s="449">
        <v>176</v>
      </c>
      <c r="F22" s="451">
        <v>166</v>
      </c>
      <c r="G22" s="449">
        <v>61</v>
      </c>
      <c r="H22" s="458">
        <v>58</v>
      </c>
    </row>
    <row r="23" spans="1:8" ht="15.75" x14ac:dyDescent="0.25">
      <c r="A23" s="455">
        <v>2022</v>
      </c>
      <c r="B23" s="449">
        <v>203</v>
      </c>
      <c r="C23" s="450">
        <v>219.7</v>
      </c>
      <c r="D23" s="451">
        <v>197</v>
      </c>
      <c r="E23" s="449">
        <v>156</v>
      </c>
      <c r="F23" s="451">
        <v>152</v>
      </c>
      <c r="G23" s="449">
        <v>47</v>
      </c>
      <c r="H23" s="458">
        <v>45</v>
      </c>
    </row>
    <row r="24" spans="1:8" ht="15.75" x14ac:dyDescent="0.25">
      <c r="A24" s="455">
        <v>2023</v>
      </c>
      <c r="B24" s="449">
        <v>221</v>
      </c>
      <c r="C24" s="450">
        <v>220.3</v>
      </c>
      <c r="D24" s="451">
        <v>213</v>
      </c>
      <c r="E24" s="449">
        <v>171</v>
      </c>
      <c r="F24" s="451">
        <v>164</v>
      </c>
      <c r="G24" s="449">
        <v>50</v>
      </c>
      <c r="H24" s="458">
        <v>49</v>
      </c>
    </row>
    <row r="25" spans="1:8" ht="15.75" x14ac:dyDescent="0.25">
      <c r="A25" s="455">
        <v>2024</v>
      </c>
      <c r="B25" s="449">
        <v>290</v>
      </c>
      <c r="C25" s="464">
        <v>238</v>
      </c>
      <c r="D25" s="451">
        <v>278</v>
      </c>
      <c r="E25" s="449">
        <v>230</v>
      </c>
      <c r="F25" s="451">
        <v>221</v>
      </c>
      <c r="G25" s="449">
        <v>60</v>
      </c>
      <c r="H25" s="458">
        <v>57</v>
      </c>
    </row>
  </sheetData>
  <hyperlinks>
    <hyperlink ref="A3" location="'Table List'!A1" display="Table list" xr:uid="{00000000-0004-0000-0300-000000000000}"/>
    <hyperlink ref="A2" location="Notes!A1" display="Notes" xr:uid="{4635B18D-4ABD-4107-AE03-F527DDD25FDD}"/>
  </hyperlinks>
  <pageMargins left="0.7" right="0.7" top="0.75" bottom="0.75" header="0.3" footer="0.3"/>
  <pageSetup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0020-8670-4C19-9433-C212F7913C56}">
  <sheetPr>
    <tabColor theme="3" tint="0.79998168889431442"/>
  </sheetPr>
  <dimension ref="A1:P30"/>
  <sheetViews>
    <sheetView showGridLines="0" zoomScaleNormal="100" workbookViewId="0">
      <selection activeCell="S20" sqref="S20"/>
    </sheetView>
  </sheetViews>
  <sheetFormatPr defaultRowHeight="12.75" x14ac:dyDescent="0.2"/>
  <sheetData>
    <row r="1" spans="1:16" ht="19.7" customHeight="1" x14ac:dyDescent="0.3">
      <c r="A1" s="12" t="s">
        <v>292</v>
      </c>
      <c r="P1" s="31"/>
    </row>
    <row r="2" spans="1:16" ht="15.75" x14ac:dyDescent="0.25">
      <c r="A2" s="97" t="s">
        <v>287</v>
      </c>
      <c r="B2" s="94"/>
      <c r="C2" s="95"/>
      <c r="D2" s="95"/>
      <c r="E2" s="95"/>
      <c r="F2" s="95"/>
      <c r="G2" s="95"/>
    </row>
    <row r="3" spans="1:16" ht="15.75" x14ac:dyDescent="0.25">
      <c r="A3" s="98" t="s">
        <v>197</v>
      </c>
      <c r="B3" s="94"/>
      <c r="C3" s="95"/>
      <c r="D3" s="95"/>
      <c r="E3" s="95"/>
      <c r="F3" s="95"/>
      <c r="G3" s="95"/>
      <c r="H3" s="92"/>
      <c r="I3" s="96"/>
    </row>
    <row r="7" spans="1:16" ht="15" x14ac:dyDescent="0.2">
      <c r="P7" s="210"/>
    </row>
    <row r="30" spans="3:3" x14ac:dyDescent="0.2">
      <c r="C30" s="47"/>
    </row>
  </sheetData>
  <hyperlinks>
    <hyperlink ref="A3" location="'Table List'!A1" display="Table list" xr:uid="{4E9A8F2F-F86F-45EC-8949-2CDDAFC65102}"/>
    <hyperlink ref="A2" location="Notes!A1" display="Notes" xr:uid="{18BFB754-1630-4F23-9656-045B22934463}"/>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79998168889431442"/>
  </sheetPr>
  <dimension ref="A1:P39"/>
  <sheetViews>
    <sheetView showGridLines="0" workbookViewId="0">
      <pane ySplit="5" topLeftCell="A6" activePane="bottomLeft" state="frozen"/>
      <selection pane="bottomLeft"/>
    </sheetView>
  </sheetViews>
  <sheetFormatPr defaultColWidth="9.42578125" defaultRowHeight="12.75" x14ac:dyDescent="0.2"/>
  <cols>
    <col min="1" max="1" width="17" style="3" customWidth="1"/>
    <col min="2" max="2" width="7.42578125" style="1" customWidth="1"/>
    <col min="3" max="3" width="8" customWidth="1"/>
    <col min="4" max="5" width="7.5703125" style="4" customWidth="1"/>
    <col min="6" max="6" width="8" style="4" customWidth="1"/>
    <col min="7" max="9" width="7.5703125" customWidth="1"/>
    <col min="10" max="10" width="7.42578125" customWidth="1"/>
    <col min="11" max="16" width="7.5703125" customWidth="1"/>
  </cols>
  <sheetData>
    <row r="1" spans="1:16" s="29" customFormat="1" ht="19.5" x14ac:dyDescent="0.3">
      <c r="A1" s="12" t="s">
        <v>273</v>
      </c>
      <c r="B1" s="7"/>
      <c r="C1" s="7"/>
      <c r="D1" s="7"/>
      <c r="E1" s="7"/>
      <c r="F1" s="7"/>
      <c r="G1" s="7"/>
      <c r="H1" s="7"/>
      <c r="I1" s="7"/>
      <c r="J1" s="7"/>
      <c r="K1" s="7"/>
      <c r="L1" s="7"/>
      <c r="M1" s="7"/>
      <c r="N1" s="7"/>
      <c r="O1" s="7"/>
      <c r="P1" s="7"/>
    </row>
    <row r="2" spans="1:16" ht="15.75" x14ac:dyDescent="0.25">
      <c r="A2" s="93" t="s">
        <v>195</v>
      </c>
      <c r="B2" s="94"/>
      <c r="C2" s="95"/>
      <c r="D2" s="95"/>
      <c r="E2" s="95"/>
      <c r="F2" s="95"/>
      <c r="G2" s="95"/>
      <c r="I2" s="96"/>
    </row>
    <row r="3" spans="1:16" ht="15.75" x14ac:dyDescent="0.25">
      <c r="A3" s="97" t="s">
        <v>196</v>
      </c>
      <c r="B3" s="94"/>
      <c r="C3" s="95"/>
      <c r="D3" s="95"/>
      <c r="E3" s="95"/>
      <c r="F3" s="95"/>
      <c r="G3" s="95"/>
      <c r="I3" s="96"/>
    </row>
    <row r="4" spans="1:16" ht="16.5" thickBot="1" x14ac:dyDescent="0.3">
      <c r="A4" s="98" t="s">
        <v>197</v>
      </c>
      <c r="B4" s="94"/>
      <c r="C4" s="95"/>
      <c r="D4" s="95"/>
      <c r="E4" s="95"/>
      <c r="F4" s="95"/>
      <c r="G4" s="95"/>
      <c r="H4" s="92"/>
      <c r="I4" s="96"/>
    </row>
    <row r="5" spans="1:16" ht="16.5" thickBot="1" x14ac:dyDescent="0.3">
      <c r="A5" s="291" t="s">
        <v>11</v>
      </c>
      <c r="B5" s="290" t="s">
        <v>126</v>
      </c>
      <c r="C5" s="417" t="s">
        <v>16</v>
      </c>
      <c r="D5" s="415" t="s">
        <v>131</v>
      </c>
      <c r="E5" s="415" t="s">
        <v>0</v>
      </c>
      <c r="F5" s="415" t="s">
        <v>1</v>
      </c>
      <c r="G5" s="415" t="s">
        <v>2</v>
      </c>
      <c r="H5" s="415" t="s">
        <v>3</v>
      </c>
      <c r="I5" s="415" t="s">
        <v>4</v>
      </c>
      <c r="J5" s="415" t="s">
        <v>5</v>
      </c>
      <c r="K5" s="415" t="s">
        <v>6</v>
      </c>
      <c r="L5" s="415" t="s">
        <v>7</v>
      </c>
      <c r="M5" s="415" t="s">
        <v>8</v>
      </c>
      <c r="N5" s="415" t="s">
        <v>9</v>
      </c>
      <c r="O5" s="415" t="s">
        <v>10</v>
      </c>
      <c r="P5" s="416" t="s">
        <v>132</v>
      </c>
    </row>
    <row r="6" spans="1:16" ht="15.75" x14ac:dyDescent="0.25">
      <c r="A6" s="409">
        <v>2015</v>
      </c>
      <c r="B6" s="292" t="s">
        <v>121</v>
      </c>
      <c r="C6" s="293">
        <v>220</v>
      </c>
      <c r="D6" s="294">
        <v>14</v>
      </c>
      <c r="E6" s="294">
        <v>22</v>
      </c>
      <c r="F6" s="294">
        <v>29</v>
      </c>
      <c r="G6" s="294">
        <v>21</v>
      </c>
      <c r="H6" s="294">
        <v>15</v>
      </c>
      <c r="I6" s="294">
        <v>21</v>
      </c>
      <c r="J6" s="294">
        <v>27</v>
      </c>
      <c r="K6" s="294">
        <v>20</v>
      </c>
      <c r="L6" s="294">
        <v>22</v>
      </c>
      <c r="M6" s="294">
        <v>9</v>
      </c>
      <c r="N6" s="294">
        <v>11</v>
      </c>
      <c r="O6" s="294">
        <v>4</v>
      </c>
      <c r="P6" s="334">
        <v>5</v>
      </c>
    </row>
    <row r="7" spans="1:16" ht="15.75" x14ac:dyDescent="0.25">
      <c r="A7" s="465">
        <v>2015</v>
      </c>
      <c r="B7" s="295" t="s">
        <v>12</v>
      </c>
      <c r="C7" s="296">
        <v>173</v>
      </c>
      <c r="D7" s="297">
        <v>10</v>
      </c>
      <c r="E7" s="297">
        <v>15</v>
      </c>
      <c r="F7" s="297">
        <v>25</v>
      </c>
      <c r="G7" s="297">
        <v>15</v>
      </c>
      <c r="H7" s="297">
        <v>11</v>
      </c>
      <c r="I7" s="297">
        <v>18</v>
      </c>
      <c r="J7" s="297">
        <v>20</v>
      </c>
      <c r="K7" s="297">
        <v>16</v>
      </c>
      <c r="L7" s="297">
        <v>19</v>
      </c>
      <c r="M7" s="298">
        <v>7</v>
      </c>
      <c r="N7" s="299">
        <v>8</v>
      </c>
      <c r="O7" s="299">
        <v>4</v>
      </c>
      <c r="P7" s="410">
        <v>5</v>
      </c>
    </row>
    <row r="8" spans="1:16" ht="15.75" x14ac:dyDescent="0.25">
      <c r="A8" s="465">
        <v>2015</v>
      </c>
      <c r="B8" s="300" t="s">
        <v>13</v>
      </c>
      <c r="C8" s="301">
        <v>47</v>
      </c>
      <c r="D8" s="302">
        <v>4</v>
      </c>
      <c r="E8" s="302">
        <v>7</v>
      </c>
      <c r="F8" s="302">
        <v>4</v>
      </c>
      <c r="G8" s="302">
        <v>6</v>
      </c>
      <c r="H8" s="302">
        <v>4</v>
      </c>
      <c r="I8" s="302">
        <v>3</v>
      </c>
      <c r="J8" s="302">
        <v>7</v>
      </c>
      <c r="K8" s="302">
        <v>4</v>
      </c>
      <c r="L8" s="302">
        <v>3</v>
      </c>
      <c r="M8" s="303">
        <v>2</v>
      </c>
      <c r="N8" s="304">
        <v>3</v>
      </c>
      <c r="O8" s="304">
        <v>0</v>
      </c>
      <c r="P8" s="411">
        <v>0</v>
      </c>
    </row>
    <row r="9" spans="1:16" ht="15.75" x14ac:dyDescent="0.25">
      <c r="A9" s="318">
        <v>2016</v>
      </c>
      <c r="B9" s="305" t="s">
        <v>121</v>
      </c>
      <c r="C9" s="293">
        <v>195</v>
      </c>
      <c r="D9" s="306">
        <v>10</v>
      </c>
      <c r="E9" s="306">
        <v>26</v>
      </c>
      <c r="F9" s="306">
        <v>17</v>
      </c>
      <c r="G9" s="306">
        <v>22</v>
      </c>
      <c r="H9" s="306">
        <v>15</v>
      </c>
      <c r="I9" s="306">
        <v>17</v>
      </c>
      <c r="J9" s="306">
        <v>16</v>
      </c>
      <c r="K9" s="306">
        <v>25</v>
      </c>
      <c r="L9" s="306">
        <v>21</v>
      </c>
      <c r="M9" s="306">
        <v>8</v>
      </c>
      <c r="N9" s="306">
        <v>7</v>
      </c>
      <c r="O9" s="306">
        <v>4</v>
      </c>
      <c r="P9" s="412">
        <v>7</v>
      </c>
    </row>
    <row r="10" spans="1:16" ht="15.75" x14ac:dyDescent="0.25">
      <c r="A10" s="465">
        <v>2016</v>
      </c>
      <c r="B10" s="295" t="s">
        <v>12</v>
      </c>
      <c r="C10" s="296">
        <v>149</v>
      </c>
      <c r="D10" s="297">
        <v>8</v>
      </c>
      <c r="E10" s="297">
        <v>16</v>
      </c>
      <c r="F10" s="297">
        <v>11</v>
      </c>
      <c r="G10" s="297">
        <v>20</v>
      </c>
      <c r="H10" s="297">
        <v>14</v>
      </c>
      <c r="I10" s="297">
        <v>13</v>
      </c>
      <c r="J10" s="297">
        <v>13</v>
      </c>
      <c r="K10" s="297">
        <v>19</v>
      </c>
      <c r="L10" s="297">
        <v>15</v>
      </c>
      <c r="M10" s="298">
        <v>8</v>
      </c>
      <c r="N10" s="299">
        <v>5</v>
      </c>
      <c r="O10" s="299">
        <v>2</v>
      </c>
      <c r="P10" s="410">
        <v>5</v>
      </c>
    </row>
    <row r="11" spans="1:16" ht="15.75" x14ac:dyDescent="0.25">
      <c r="A11" s="466">
        <v>2016</v>
      </c>
      <c r="B11" s="300" t="s">
        <v>13</v>
      </c>
      <c r="C11" s="301">
        <v>46</v>
      </c>
      <c r="D11" s="302">
        <v>2</v>
      </c>
      <c r="E11" s="302">
        <v>10</v>
      </c>
      <c r="F11" s="302">
        <v>6</v>
      </c>
      <c r="G11" s="302">
        <v>2</v>
      </c>
      <c r="H11" s="302">
        <v>1</v>
      </c>
      <c r="I11" s="302">
        <v>4</v>
      </c>
      <c r="J11" s="302">
        <v>3</v>
      </c>
      <c r="K11" s="302">
        <v>6</v>
      </c>
      <c r="L11" s="302">
        <v>6</v>
      </c>
      <c r="M11" s="303">
        <v>0</v>
      </c>
      <c r="N11" s="304">
        <v>2</v>
      </c>
      <c r="O11" s="304">
        <v>2</v>
      </c>
      <c r="P11" s="411">
        <v>2</v>
      </c>
    </row>
    <row r="12" spans="1:16" ht="15.75" x14ac:dyDescent="0.25">
      <c r="A12" s="318">
        <v>2017</v>
      </c>
      <c r="B12" s="305" t="s">
        <v>121</v>
      </c>
      <c r="C12" s="293">
        <v>199</v>
      </c>
      <c r="D12" s="306">
        <v>9</v>
      </c>
      <c r="E12" s="306">
        <v>23</v>
      </c>
      <c r="F12" s="306">
        <v>18</v>
      </c>
      <c r="G12" s="306">
        <v>18</v>
      </c>
      <c r="H12" s="306">
        <v>25</v>
      </c>
      <c r="I12" s="306">
        <v>21</v>
      </c>
      <c r="J12" s="306">
        <v>24</v>
      </c>
      <c r="K12" s="306">
        <v>27</v>
      </c>
      <c r="L12" s="306">
        <v>12</v>
      </c>
      <c r="M12" s="306">
        <v>10</v>
      </c>
      <c r="N12" s="306">
        <v>4</v>
      </c>
      <c r="O12" s="306">
        <v>4</v>
      </c>
      <c r="P12" s="412">
        <v>4</v>
      </c>
    </row>
    <row r="13" spans="1:16" ht="15.75" x14ac:dyDescent="0.25">
      <c r="A13" s="465">
        <v>2017</v>
      </c>
      <c r="B13" s="295" t="s">
        <v>12</v>
      </c>
      <c r="C13" s="296">
        <v>151</v>
      </c>
      <c r="D13" s="297">
        <v>8</v>
      </c>
      <c r="E13" s="297">
        <v>15</v>
      </c>
      <c r="F13" s="297">
        <v>13</v>
      </c>
      <c r="G13" s="297">
        <v>12</v>
      </c>
      <c r="H13" s="297">
        <v>20</v>
      </c>
      <c r="I13" s="297">
        <v>16</v>
      </c>
      <c r="J13" s="297">
        <v>19</v>
      </c>
      <c r="K13" s="297">
        <v>21</v>
      </c>
      <c r="L13" s="297">
        <v>11</v>
      </c>
      <c r="M13" s="298">
        <v>7</v>
      </c>
      <c r="N13" s="299">
        <v>2</v>
      </c>
      <c r="O13" s="299">
        <v>3</v>
      </c>
      <c r="P13" s="410">
        <v>4</v>
      </c>
    </row>
    <row r="14" spans="1:16" ht="15.75" x14ac:dyDescent="0.25">
      <c r="A14" s="466">
        <v>2017</v>
      </c>
      <c r="B14" s="300" t="s">
        <v>13</v>
      </c>
      <c r="C14" s="301">
        <v>48</v>
      </c>
      <c r="D14" s="302">
        <v>1</v>
      </c>
      <c r="E14" s="302">
        <v>8</v>
      </c>
      <c r="F14" s="302">
        <v>5</v>
      </c>
      <c r="G14" s="302">
        <v>6</v>
      </c>
      <c r="H14" s="302">
        <v>5</v>
      </c>
      <c r="I14" s="302">
        <v>5</v>
      </c>
      <c r="J14" s="302">
        <v>5</v>
      </c>
      <c r="K14" s="302">
        <v>6</v>
      </c>
      <c r="L14" s="302">
        <v>1</v>
      </c>
      <c r="M14" s="303">
        <v>3</v>
      </c>
      <c r="N14" s="304">
        <v>2</v>
      </c>
      <c r="O14" s="304">
        <v>1</v>
      </c>
      <c r="P14" s="411">
        <v>0</v>
      </c>
    </row>
    <row r="15" spans="1:16" ht="15.75" x14ac:dyDescent="0.25">
      <c r="A15" s="318">
        <v>2018</v>
      </c>
      <c r="B15" s="305" t="s">
        <v>121</v>
      </c>
      <c r="C15" s="293">
        <v>236</v>
      </c>
      <c r="D15" s="307">
        <v>12</v>
      </c>
      <c r="E15" s="307">
        <v>17</v>
      </c>
      <c r="F15" s="307">
        <v>28</v>
      </c>
      <c r="G15" s="307">
        <v>33</v>
      </c>
      <c r="H15" s="307">
        <v>19</v>
      </c>
      <c r="I15" s="307">
        <v>31</v>
      </c>
      <c r="J15" s="307">
        <v>26</v>
      </c>
      <c r="K15" s="307">
        <v>19</v>
      </c>
      <c r="L15" s="307">
        <v>20</v>
      </c>
      <c r="M15" s="307">
        <v>9</v>
      </c>
      <c r="N15" s="307">
        <v>12</v>
      </c>
      <c r="O15" s="307">
        <v>6</v>
      </c>
      <c r="P15" s="333">
        <v>4</v>
      </c>
    </row>
    <row r="16" spans="1:16" ht="15.75" x14ac:dyDescent="0.25">
      <c r="A16" s="465">
        <v>2018</v>
      </c>
      <c r="B16" s="295" t="s">
        <v>12</v>
      </c>
      <c r="C16" s="296">
        <v>176</v>
      </c>
      <c r="D16" s="297">
        <v>6</v>
      </c>
      <c r="E16" s="297">
        <v>14</v>
      </c>
      <c r="F16" s="308">
        <v>25</v>
      </c>
      <c r="G16" s="308">
        <v>23</v>
      </c>
      <c r="H16" s="308">
        <v>15</v>
      </c>
      <c r="I16" s="308">
        <v>23</v>
      </c>
      <c r="J16" s="308">
        <v>18</v>
      </c>
      <c r="K16" s="297">
        <v>12</v>
      </c>
      <c r="L16" s="297">
        <v>18</v>
      </c>
      <c r="M16" s="309">
        <v>7</v>
      </c>
      <c r="N16" s="297">
        <v>9</v>
      </c>
      <c r="O16" s="297">
        <v>4</v>
      </c>
      <c r="P16" s="308">
        <v>2</v>
      </c>
    </row>
    <row r="17" spans="1:16" ht="15.75" x14ac:dyDescent="0.25">
      <c r="A17" s="465">
        <v>2018</v>
      </c>
      <c r="B17" s="295" t="s">
        <v>13</v>
      </c>
      <c r="C17" s="301">
        <v>60</v>
      </c>
      <c r="D17" s="297">
        <v>6</v>
      </c>
      <c r="E17" s="297">
        <v>3</v>
      </c>
      <c r="F17" s="308">
        <v>3</v>
      </c>
      <c r="G17" s="308">
        <v>10</v>
      </c>
      <c r="H17" s="308">
        <v>4</v>
      </c>
      <c r="I17" s="308">
        <v>8</v>
      </c>
      <c r="J17" s="308">
        <v>8</v>
      </c>
      <c r="K17" s="297">
        <v>7</v>
      </c>
      <c r="L17" s="297">
        <v>2</v>
      </c>
      <c r="M17" s="309">
        <v>2</v>
      </c>
      <c r="N17" s="297">
        <v>3</v>
      </c>
      <c r="O17" s="297">
        <v>2</v>
      </c>
      <c r="P17" s="308">
        <v>2</v>
      </c>
    </row>
    <row r="18" spans="1:16" ht="15.75" x14ac:dyDescent="0.25">
      <c r="A18" s="318">
        <v>2019</v>
      </c>
      <c r="B18" s="305" t="s">
        <v>121</v>
      </c>
      <c r="C18" s="293">
        <v>205</v>
      </c>
      <c r="D18" s="307">
        <v>14</v>
      </c>
      <c r="E18" s="307">
        <v>13</v>
      </c>
      <c r="F18" s="307">
        <v>18</v>
      </c>
      <c r="G18" s="307">
        <v>24</v>
      </c>
      <c r="H18" s="307">
        <v>29</v>
      </c>
      <c r="I18" s="307">
        <v>15</v>
      </c>
      <c r="J18" s="307">
        <v>24</v>
      </c>
      <c r="K18" s="307">
        <v>26</v>
      </c>
      <c r="L18" s="307">
        <v>15</v>
      </c>
      <c r="M18" s="307">
        <v>6</v>
      </c>
      <c r="N18" s="307">
        <v>10</v>
      </c>
      <c r="O18" s="307">
        <v>8</v>
      </c>
      <c r="P18" s="333">
        <v>3</v>
      </c>
    </row>
    <row r="19" spans="1:16" ht="15.75" x14ac:dyDescent="0.25">
      <c r="A19" s="465">
        <v>2019</v>
      </c>
      <c r="B19" s="295" t="s">
        <v>12</v>
      </c>
      <c r="C19" s="296">
        <v>155</v>
      </c>
      <c r="D19" s="297">
        <v>12</v>
      </c>
      <c r="E19" s="297">
        <v>10</v>
      </c>
      <c r="F19" s="308">
        <v>15</v>
      </c>
      <c r="G19" s="308">
        <v>20</v>
      </c>
      <c r="H19" s="308">
        <v>22</v>
      </c>
      <c r="I19" s="308">
        <v>12</v>
      </c>
      <c r="J19" s="308">
        <v>20</v>
      </c>
      <c r="K19" s="297">
        <v>17</v>
      </c>
      <c r="L19" s="297">
        <v>11</v>
      </c>
      <c r="M19" s="309">
        <v>4</v>
      </c>
      <c r="N19" s="297">
        <v>6</v>
      </c>
      <c r="O19" s="297">
        <v>3</v>
      </c>
      <c r="P19" s="308">
        <v>3</v>
      </c>
    </row>
    <row r="20" spans="1:16" ht="15.75" x14ac:dyDescent="0.25">
      <c r="A20" s="465">
        <v>2019</v>
      </c>
      <c r="B20" s="295" t="s">
        <v>13</v>
      </c>
      <c r="C20" s="296">
        <v>50</v>
      </c>
      <c r="D20" s="297">
        <v>2</v>
      </c>
      <c r="E20" s="297">
        <v>3</v>
      </c>
      <c r="F20" s="308">
        <v>3</v>
      </c>
      <c r="G20" s="308">
        <v>4</v>
      </c>
      <c r="H20" s="308">
        <v>7</v>
      </c>
      <c r="I20" s="308">
        <v>3</v>
      </c>
      <c r="J20" s="308">
        <v>4</v>
      </c>
      <c r="K20" s="297">
        <v>9</v>
      </c>
      <c r="L20" s="297">
        <v>4</v>
      </c>
      <c r="M20" s="309">
        <v>2</v>
      </c>
      <c r="N20" s="297">
        <v>4</v>
      </c>
      <c r="O20" s="297">
        <v>5</v>
      </c>
      <c r="P20" s="308">
        <v>0</v>
      </c>
    </row>
    <row r="21" spans="1:16" ht="15.75" x14ac:dyDescent="0.25">
      <c r="A21" s="318">
        <v>2020</v>
      </c>
      <c r="B21" s="305" t="s">
        <v>121</v>
      </c>
      <c r="C21" s="310">
        <v>219</v>
      </c>
      <c r="D21" s="306">
        <v>18</v>
      </c>
      <c r="E21" s="306">
        <v>14</v>
      </c>
      <c r="F21" s="306">
        <v>28</v>
      </c>
      <c r="G21" s="306">
        <v>20</v>
      </c>
      <c r="H21" s="306">
        <v>32</v>
      </c>
      <c r="I21" s="306">
        <v>22</v>
      </c>
      <c r="J21" s="306">
        <v>16</v>
      </c>
      <c r="K21" s="306">
        <v>19</v>
      </c>
      <c r="L21" s="307">
        <v>16</v>
      </c>
      <c r="M21" s="311">
        <v>17</v>
      </c>
      <c r="N21" s="307">
        <v>7</v>
      </c>
      <c r="O21" s="307">
        <v>4</v>
      </c>
      <c r="P21" s="333">
        <v>6</v>
      </c>
    </row>
    <row r="22" spans="1:16" ht="15.75" x14ac:dyDescent="0.25">
      <c r="A22" s="465">
        <v>2020</v>
      </c>
      <c r="B22" s="295" t="s">
        <v>12</v>
      </c>
      <c r="C22" s="296">
        <v>160</v>
      </c>
      <c r="D22" s="297">
        <v>13</v>
      </c>
      <c r="E22" s="297">
        <v>11</v>
      </c>
      <c r="F22" s="297">
        <v>21</v>
      </c>
      <c r="G22" s="297">
        <v>17</v>
      </c>
      <c r="H22" s="297">
        <v>27</v>
      </c>
      <c r="I22" s="297">
        <v>12</v>
      </c>
      <c r="J22" s="297">
        <v>14</v>
      </c>
      <c r="K22" s="297">
        <v>10</v>
      </c>
      <c r="L22" s="299">
        <v>10</v>
      </c>
      <c r="M22" s="298">
        <v>14</v>
      </c>
      <c r="N22" s="299">
        <v>5</v>
      </c>
      <c r="O22" s="299">
        <v>2</v>
      </c>
      <c r="P22" s="410">
        <v>4</v>
      </c>
    </row>
    <row r="23" spans="1:16" ht="15.75" x14ac:dyDescent="0.25">
      <c r="A23" s="466">
        <v>2020</v>
      </c>
      <c r="B23" s="300" t="s">
        <v>13</v>
      </c>
      <c r="C23" s="312">
        <v>59</v>
      </c>
      <c r="D23" s="302">
        <v>5</v>
      </c>
      <c r="E23" s="302">
        <v>3</v>
      </c>
      <c r="F23" s="302">
        <v>7</v>
      </c>
      <c r="G23" s="302">
        <v>3</v>
      </c>
      <c r="H23" s="302">
        <v>5</v>
      </c>
      <c r="I23" s="302">
        <v>10</v>
      </c>
      <c r="J23" s="302">
        <v>2</v>
      </c>
      <c r="K23" s="302">
        <v>9</v>
      </c>
      <c r="L23" s="304">
        <v>6</v>
      </c>
      <c r="M23" s="303">
        <v>3</v>
      </c>
      <c r="N23" s="304">
        <v>2</v>
      </c>
      <c r="O23" s="304">
        <v>2</v>
      </c>
      <c r="P23" s="411">
        <v>2</v>
      </c>
    </row>
    <row r="24" spans="1:16" ht="15.75" x14ac:dyDescent="0.25">
      <c r="A24" s="409">
        <v>2021</v>
      </c>
      <c r="B24" s="295" t="s">
        <v>121</v>
      </c>
      <c r="C24" s="293">
        <v>237</v>
      </c>
      <c r="D24" s="294">
        <v>16</v>
      </c>
      <c r="E24" s="294">
        <v>30</v>
      </c>
      <c r="F24" s="313">
        <v>29</v>
      </c>
      <c r="G24" s="313">
        <v>21</v>
      </c>
      <c r="H24" s="313">
        <v>26</v>
      </c>
      <c r="I24" s="313">
        <v>20</v>
      </c>
      <c r="J24" s="313">
        <v>26</v>
      </c>
      <c r="K24" s="294">
        <v>25</v>
      </c>
      <c r="L24" s="313">
        <v>15</v>
      </c>
      <c r="M24" s="314">
        <v>8</v>
      </c>
      <c r="N24" s="313">
        <v>10</v>
      </c>
      <c r="O24" s="313">
        <v>6</v>
      </c>
      <c r="P24" s="413">
        <v>5</v>
      </c>
    </row>
    <row r="25" spans="1:16" ht="15.75" x14ac:dyDescent="0.25">
      <c r="A25" s="465">
        <v>2021</v>
      </c>
      <c r="B25" s="295" t="s">
        <v>12</v>
      </c>
      <c r="C25" s="296">
        <v>176</v>
      </c>
      <c r="D25" s="297">
        <v>10</v>
      </c>
      <c r="E25" s="297">
        <v>20</v>
      </c>
      <c r="F25" s="299">
        <v>22</v>
      </c>
      <c r="G25" s="299">
        <v>15</v>
      </c>
      <c r="H25" s="299">
        <v>21</v>
      </c>
      <c r="I25" s="299">
        <v>15</v>
      </c>
      <c r="J25" s="299">
        <v>22</v>
      </c>
      <c r="K25" s="297">
        <v>17</v>
      </c>
      <c r="L25" s="299">
        <v>13</v>
      </c>
      <c r="M25" s="298">
        <v>5</v>
      </c>
      <c r="N25" s="299">
        <v>8</v>
      </c>
      <c r="O25" s="299">
        <v>3</v>
      </c>
      <c r="P25" s="410">
        <v>5</v>
      </c>
    </row>
    <row r="26" spans="1:16" ht="15.75" x14ac:dyDescent="0.25">
      <c r="A26" s="465">
        <v>2021</v>
      </c>
      <c r="B26" s="295" t="s">
        <v>13</v>
      </c>
      <c r="C26" s="296">
        <v>61</v>
      </c>
      <c r="D26" s="297">
        <v>6</v>
      </c>
      <c r="E26" s="297">
        <v>10</v>
      </c>
      <c r="F26" s="299">
        <v>7</v>
      </c>
      <c r="G26" s="299">
        <v>6</v>
      </c>
      <c r="H26" s="299">
        <v>5</v>
      </c>
      <c r="I26" s="299">
        <v>5</v>
      </c>
      <c r="J26" s="299">
        <v>4</v>
      </c>
      <c r="K26" s="297">
        <v>8</v>
      </c>
      <c r="L26" s="299">
        <v>2</v>
      </c>
      <c r="M26" s="298">
        <v>3</v>
      </c>
      <c r="N26" s="299">
        <v>2</v>
      </c>
      <c r="O26" s="299">
        <v>3</v>
      </c>
      <c r="P26" s="410">
        <v>0</v>
      </c>
    </row>
    <row r="27" spans="1:16" ht="15.75" x14ac:dyDescent="0.25">
      <c r="A27" s="318">
        <v>2022</v>
      </c>
      <c r="B27" s="315" t="s">
        <v>121</v>
      </c>
      <c r="C27" s="310">
        <v>203</v>
      </c>
      <c r="D27" s="306">
        <v>8</v>
      </c>
      <c r="E27" s="306">
        <v>18</v>
      </c>
      <c r="F27" s="307">
        <v>17</v>
      </c>
      <c r="G27" s="307">
        <v>13</v>
      </c>
      <c r="H27" s="307">
        <v>21</v>
      </c>
      <c r="I27" s="307">
        <v>22</v>
      </c>
      <c r="J27" s="307">
        <v>21</v>
      </c>
      <c r="K27" s="306">
        <v>23</v>
      </c>
      <c r="L27" s="307">
        <v>16</v>
      </c>
      <c r="M27" s="311">
        <v>18</v>
      </c>
      <c r="N27" s="307">
        <v>11</v>
      </c>
      <c r="O27" s="307">
        <v>7</v>
      </c>
      <c r="P27" s="333">
        <v>8</v>
      </c>
    </row>
    <row r="28" spans="1:16" ht="15.75" x14ac:dyDescent="0.25">
      <c r="A28" s="465">
        <v>2022</v>
      </c>
      <c r="B28" s="295" t="s">
        <v>12</v>
      </c>
      <c r="C28" s="296">
        <v>156</v>
      </c>
      <c r="D28" s="294">
        <v>7</v>
      </c>
      <c r="E28" s="297">
        <v>11</v>
      </c>
      <c r="F28" s="299">
        <v>15</v>
      </c>
      <c r="G28" s="299">
        <v>9</v>
      </c>
      <c r="H28" s="299">
        <v>15</v>
      </c>
      <c r="I28" s="299">
        <v>19</v>
      </c>
      <c r="J28" s="299">
        <v>12</v>
      </c>
      <c r="K28" s="297">
        <v>17</v>
      </c>
      <c r="L28" s="299">
        <v>12</v>
      </c>
      <c r="M28" s="298">
        <v>17</v>
      </c>
      <c r="N28" s="299">
        <v>11</v>
      </c>
      <c r="O28" s="299">
        <v>5</v>
      </c>
      <c r="P28" s="410">
        <v>6</v>
      </c>
    </row>
    <row r="29" spans="1:16" s="15" customFormat="1" ht="15.75" x14ac:dyDescent="0.25">
      <c r="A29" s="466">
        <v>2022</v>
      </c>
      <c r="B29" s="300" t="s">
        <v>13</v>
      </c>
      <c r="C29" s="312">
        <v>47</v>
      </c>
      <c r="D29" s="316">
        <v>1</v>
      </c>
      <c r="E29" s="302">
        <v>7</v>
      </c>
      <c r="F29" s="304">
        <v>2</v>
      </c>
      <c r="G29" s="304">
        <v>4</v>
      </c>
      <c r="H29" s="304">
        <v>6</v>
      </c>
      <c r="I29" s="304">
        <v>3</v>
      </c>
      <c r="J29" s="304">
        <v>9</v>
      </c>
      <c r="K29" s="302">
        <v>6</v>
      </c>
      <c r="L29" s="304">
        <v>4</v>
      </c>
      <c r="M29" s="303">
        <v>1</v>
      </c>
      <c r="N29" s="304">
        <v>0</v>
      </c>
      <c r="O29" s="304">
        <v>2</v>
      </c>
      <c r="P29" s="411">
        <v>2</v>
      </c>
    </row>
    <row r="30" spans="1:16" s="15" customFormat="1" ht="15.75" x14ac:dyDescent="0.25">
      <c r="A30" s="318">
        <v>2023</v>
      </c>
      <c r="B30" s="305" t="s">
        <v>121</v>
      </c>
      <c r="C30" s="310">
        <v>221</v>
      </c>
      <c r="D30" s="307">
        <v>11</v>
      </c>
      <c r="E30" s="307">
        <v>16</v>
      </c>
      <c r="F30" s="307">
        <v>26</v>
      </c>
      <c r="G30" s="307">
        <v>21</v>
      </c>
      <c r="H30" s="307">
        <v>22</v>
      </c>
      <c r="I30" s="307">
        <v>19</v>
      </c>
      <c r="J30" s="307">
        <v>24</v>
      </c>
      <c r="K30" s="307">
        <v>27</v>
      </c>
      <c r="L30" s="307">
        <v>21</v>
      </c>
      <c r="M30" s="307">
        <v>14</v>
      </c>
      <c r="N30" s="307">
        <v>7</v>
      </c>
      <c r="O30" s="307">
        <v>4</v>
      </c>
      <c r="P30" s="333">
        <v>9</v>
      </c>
    </row>
    <row r="31" spans="1:16" s="15" customFormat="1" ht="15.75" x14ac:dyDescent="0.25">
      <c r="A31" s="465">
        <v>2023</v>
      </c>
      <c r="B31" s="295" t="s">
        <v>12</v>
      </c>
      <c r="C31" s="296">
        <v>171</v>
      </c>
      <c r="D31" s="297">
        <v>7</v>
      </c>
      <c r="E31" s="297">
        <v>12</v>
      </c>
      <c r="F31" s="308">
        <v>22</v>
      </c>
      <c r="G31" s="308">
        <v>18</v>
      </c>
      <c r="H31" s="308">
        <v>16</v>
      </c>
      <c r="I31" s="308">
        <v>15</v>
      </c>
      <c r="J31" s="308">
        <v>17</v>
      </c>
      <c r="K31" s="297">
        <v>19</v>
      </c>
      <c r="L31" s="297">
        <v>15</v>
      </c>
      <c r="M31" s="309">
        <v>12</v>
      </c>
      <c r="N31" s="297">
        <v>6</v>
      </c>
      <c r="O31" s="297">
        <v>4</v>
      </c>
      <c r="P31" s="308">
        <v>8</v>
      </c>
    </row>
    <row r="32" spans="1:16" s="15" customFormat="1" ht="15.75" x14ac:dyDescent="0.25">
      <c r="A32" s="465">
        <v>2023</v>
      </c>
      <c r="B32" s="295" t="s">
        <v>13</v>
      </c>
      <c r="C32" s="317">
        <v>50</v>
      </c>
      <c r="D32" s="297">
        <v>4</v>
      </c>
      <c r="E32" s="297">
        <v>4</v>
      </c>
      <c r="F32" s="308">
        <v>4</v>
      </c>
      <c r="G32" s="308">
        <v>3</v>
      </c>
      <c r="H32" s="308">
        <v>6</v>
      </c>
      <c r="I32" s="308">
        <v>4</v>
      </c>
      <c r="J32" s="308">
        <v>7</v>
      </c>
      <c r="K32" s="297">
        <v>8</v>
      </c>
      <c r="L32" s="297">
        <v>6</v>
      </c>
      <c r="M32" s="309">
        <v>2</v>
      </c>
      <c r="N32" s="297">
        <v>1</v>
      </c>
      <c r="O32" s="297">
        <v>0</v>
      </c>
      <c r="P32" s="308">
        <v>1</v>
      </c>
    </row>
    <row r="33" spans="1:16" s="15" customFormat="1" ht="15.75" x14ac:dyDescent="0.25">
      <c r="A33" s="318">
        <v>2024</v>
      </c>
      <c r="B33" s="305" t="s">
        <v>121</v>
      </c>
      <c r="C33" s="310">
        <v>290</v>
      </c>
      <c r="D33" s="306">
        <v>12</v>
      </c>
      <c r="E33" s="306">
        <v>26</v>
      </c>
      <c r="F33" s="307">
        <v>34</v>
      </c>
      <c r="G33" s="307">
        <v>28</v>
      </c>
      <c r="H33" s="307">
        <v>31</v>
      </c>
      <c r="I33" s="307">
        <v>38</v>
      </c>
      <c r="J33" s="307">
        <v>22</v>
      </c>
      <c r="K33" s="306">
        <v>21</v>
      </c>
      <c r="L33" s="307">
        <v>20</v>
      </c>
      <c r="M33" s="311">
        <v>21</v>
      </c>
      <c r="N33" s="307">
        <v>20</v>
      </c>
      <c r="O33" s="307">
        <v>1</v>
      </c>
      <c r="P33" s="333">
        <v>16</v>
      </c>
    </row>
    <row r="34" spans="1:16" s="15" customFormat="1" ht="15.75" x14ac:dyDescent="0.25">
      <c r="A34" s="465">
        <v>2024</v>
      </c>
      <c r="B34" s="295" t="s">
        <v>12</v>
      </c>
      <c r="C34" s="296">
        <v>230</v>
      </c>
      <c r="D34" s="297">
        <v>11</v>
      </c>
      <c r="E34" s="297">
        <v>21</v>
      </c>
      <c r="F34" s="299">
        <v>28</v>
      </c>
      <c r="G34" s="299">
        <v>24</v>
      </c>
      <c r="H34" s="299">
        <v>24</v>
      </c>
      <c r="I34" s="299">
        <v>27</v>
      </c>
      <c r="J34" s="299">
        <v>16</v>
      </c>
      <c r="K34" s="297">
        <v>18</v>
      </c>
      <c r="L34" s="299">
        <v>17</v>
      </c>
      <c r="M34" s="298">
        <v>17</v>
      </c>
      <c r="N34" s="299">
        <v>14</v>
      </c>
      <c r="O34" s="299">
        <v>1</v>
      </c>
      <c r="P34" s="410">
        <v>12</v>
      </c>
    </row>
    <row r="35" spans="1:16" s="15" customFormat="1" ht="15.75" x14ac:dyDescent="0.25">
      <c r="A35" s="465">
        <v>2024</v>
      </c>
      <c r="B35" s="295" t="s">
        <v>13</v>
      </c>
      <c r="C35" s="317">
        <v>60</v>
      </c>
      <c r="D35" s="297">
        <v>1</v>
      </c>
      <c r="E35" s="297">
        <v>5</v>
      </c>
      <c r="F35" s="299">
        <v>6</v>
      </c>
      <c r="G35" s="299">
        <v>4</v>
      </c>
      <c r="H35" s="299">
        <v>7</v>
      </c>
      <c r="I35" s="299">
        <v>11</v>
      </c>
      <c r="J35" s="299">
        <v>6</v>
      </c>
      <c r="K35" s="297">
        <v>3</v>
      </c>
      <c r="L35" s="299">
        <v>3</v>
      </c>
      <c r="M35" s="298">
        <v>4</v>
      </c>
      <c r="N35" s="299">
        <v>6</v>
      </c>
      <c r="O35" s="299">
        <v>0</v>
      </c>
      <c r="P35" s="410">
        <v>4</v>
      </c>
    </row>
    <row r="36" spans="1:16" ht="15.75" x14ac:dyDescent="0.25">
      <c r="A36" s="57"/>
      <c r="B36" s="16"/>
      <c r="C36" s="15"/>
      <c r="D36" s="17"/>
      <c r="E36" s="17"/>
      <c r="F36" s="17"/>
      <c r="G36" s="15"/>
      <c r="H36" s="15"/>
      <c r="I36" s="15"/>
      <c r="J36" s="15"/>
      <c r="K36" s="15"/>
      <c r="L36" s="15"/>
      <c r="M36" s="15"/>
      <c r="N36" s="15"/>
      <c r="O36" s="15"/>
      <c r="P36" s="15"/>
    </row>
    <row r="37" spans="1:16" ht="15.75" x14ac:dyDescent="0.25">
      <c r="A37" s="57"/>
    </row>
    <row r="38" spans="1:16" ht="15.75" x14ac:dyDescent="0.25">
      <c r="A38" s="57"/>
    </row>
    <row r="39" spans="1:16" ht="15.75" x14ac:dyDescent="0.25">
      <c r="A39" s="57"/>
    </row>
  </sheetData>
  <hyperlinks>
    <hyperlink ref="A4" location="'Table List'!A1" display="Table list" xr:uid="{717FC670-3F27-4DEF-B38F-A97EF4E60E5E}"/>
    <hyperlink ref="A3" location="Notes!A1" display="Notes" xr:uid="{515179FB-358E-424E-BCCC-5733379AB378}"/>
  </hyperlinks>
  <pageMargins left="0.7" right="0.7" top="0.75" bottom="0.75" header="0.3" footer="0.3"/>
  <pageSetup orientation="portrait" horizontalDpi="90" verticalDpi="9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3DD9F-8D33-4764-AFCE-36A87D98500F}">
  <sheetPr>
    <tabColor theme="3" tint="0.79998168889431442"/>
  </sheetPr>
  <dimension ref="A1:I3"/>
  <sheetViews>
    <sheetView showGridLines="0" workbookViewId="0"/>
  </sheetViews>
  <sheetFormatPr defaultRowHeight="12.75" x14ac:dyDescent="0.2"/>
  <sheetData>
    <row r="1" spans="1:9" s="385" customFormat="1" ht="23.45" customHeight="1" x14ac:dyDescent="0.2">
      <c r="A1" s="384" t="s">
        <v>274</v>
      </c>
    </row>
    <row r="2" spans="1:9" ht="15.75" x14ac:dyDescent="0.25">
      <c r="A2" s="97" t="s">
        <v>288</v>
      </c>
      <c r="B2" s="94"/>
      <c r="C2" s="95"/>
      <c r="D2" s="95"/>
      <c r="E2" s="95"/>
      <c r="F2" s="95"/>
      <c r="G2" s="95"/>
    </row>
    <row r="3" spans="1:9" ht="15.75" x14ac:dyDescent="0.25">
      <c r="A3" s="98" t="s">
        <v>197</v>
      </c>
      <c r="B3" s="94"/>
      <c r="C3" s="95"/>
      <c r="D3" s="95"/>
      <c r="E3" s="95"/>
      <c r="F3" s="95"/>
      <c r="G3" s="95"/>
      <c r="H3" s="92"/>
      <c r="I3" s="96"/>
    </row>
  </sheetData>
  <hyperlinks>
    <hyperlink ref="A3" location="'Table List'!A1" display="Table list" xr:uid="{591D2EB9-90A8-4E0F-AEFF-A86D2DA0FB96}"/>
    <hyperlink ref="A2" location="Notes!A1" display="Notes" xr:uid="{F877F152-EE46-4AEF-B59F-B302FE48EB63}"/>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534AB-F8DE-4F2B-8614-801F53D3AD32}">
  <sheetPr>
    <tabColor theme="3" tint="0.79998168889431442"/>
  </sheetPr>
  <dimension ref="A1:I35"/>
  <sheetViews>
    <sheetView showGridLines="0" workbookViewId="0"/>
  </sheetViews>
  <sheetFormatPr defaultColWidth="9.42578125" defaultRowHeight="12.75" x14ac:dyDescent="0.2"/>
  <cols>
    <col min="1" max="1" width="18.85546875" style="3" customWidth="1"/>
    <col min="2" max="2" width="37.5703125" style="1" bestFit="1" customWidth="1"/>
    <col min="3" max="3" width="8" customWidth="1"/>
    <col min="4" max="4" width="9" style="4" customWidth="1"/>
    <col min="5" max="5" width="10.5703125" style="4" customWidth="1"/>
    <col min="6" max="6" width="11.5703125" style="4" customWidth="1"/>
    <col min="7" max="7" width="13" style="4" customWidth="1"/>
    <col min="8" max="8" width="5.5703125" customWidth="1"/>
    <col min="9" max="9" width="6.5703125" customWidth="1"/>
  </cols>
  <sheetData>
    <row r="1" spans="1:9" s="29" customFormat="1" ht="19.5" x14ac:dyDescent="0.3">
      <c r="A1" s="12" t="s">
        <v>296</v>
      </c>
      <c r="B1" s="7"/>
      <c r="C1" s="7"/>
      <c r="D1" s="7"/>
      <c r="E1" s="7"/>
      <c r="F1" s="7"/>
      <c r="G1" s="7"/>
      <c r="H1" s="7"/>
      <c r="I1" s="7"/>
    </row>
    <row r="2" spans="1:9" ht="19.5" x14ac:dyDescent="0.3">
      <c r="A2" s="12" t="s">
        <v>293</v>
      </c>
      <c r="B2" s="7"/>
      <c r="C2" s="7"/>
      <c r="D2" s="7"/>
      <c r="E2"/>
      <c r="F2"/>
      <c r="G2"/>
    </row>
    <row r="3" spans="1:9" ht="15.75" x14ac:dyDescent="0.25">
      <c r="A3" s="97" t="s">
        <v>196</v>
      </c>
      <c r="B3" s="94"/>
      <c r="C3" s="95"/>
      <c r="D3" s="95"/>
      <c r="E3" s="95"/>
      <c r="F3" s="95"/>
      <c r="G3" s="95"/>
      <c r="I3" s="96"/>
    </row>
    <row r="4" spans="1:9" ht="15.75" x14ac:dyDescent="0.25">
      <c r="A4" s="98" t="s">
        <v>197</v>
      </c>
      <c r="B4" s="94"/>
      <c r="C4" s="95"/>
      <c r="D4" s="95"/>
      <c r="E4" s="95"/>
      <c r="F4" s="95"/>
      <c r="G4" s="95"/>
      <c r="H4" s="92"/>
      <c r="I4" s="96"/>
    </row>
    <row r="5" spans="1:9" ht="16.5" thickBot="1" x14ac:dyDescent="0.3">
      <c r="A5" s="325" t="s">
        <v>11</v>
      </c>
      <c r="B5" s="414" t="s">
        <v>164</v>
      </c>
      <c r="C5" s="418" t="s">
        <v>16</v>
      </c>
      <c r="D5" s="419" t="s">
        <v>171</v>
      </c>
      <c r="E5" s="419" t="s">
        <v>166</v>
      </c>
      <c r="F5" s="419" t="s">
        <v>167</v>
      </c>
      <c r="G5" s="420" t="s">
        <v>168</v>
      </c>
    </row>
    <row r="6" spans="1:9" ht="15.75" x14ac:dyDescent="0.25">
      <c r="A6" s="280">
        <v>2015</v>
      </c>
      <c r="B6" s="129" t="s">
        <v>165</v>
      </c>
      <c r="C6" s="125">
        <v>220</v>
      </c>
      <c r="D6" s="130">
        <v>118</v>
      </c>
      <c r="E6" s="130">
        <v>71</v>
      </c>
      <c r="F6" s="130">
        <v>19</v>
      </c>
      <c r="G6" s="64">
        <v>12</v>
      </c>
    </row>
    <row r="7" spans="1:9" ht="15.75" x14ac:dyDescent="0.25">
      <c r="A7" s="280">
        <v>2015</v>
      </c>
      <c r="B7" s="123" t="s">
        <v>217</v>
      </c>
      <c r="C7" s="128">
        <v>15.4</v>
      </c>
      <c r="D7" s="78">
        <v>22.8</v>
      </c>
      <c r="E7" s="79">
        <v>9.6</v>
      </c>
      <c r="F7" s="78">
        <v>24.3</v>
      </c>
      <c r="G7" s="78">
        <v>12.4</v>
      </c>
    </row>
    <row r="8" spans="1:9" ht="15.75" x14ac:dyDescent="0.25">
      <c r="A8" s="319">
        <v>2016</v>
      </c>
      <c r="B8" s="126" t="s">
        <v>165</v>
      </c>
      <c r="C8" s="127">
        <v>195</v>
      </c>
      <c r="D8" s="59">
        <v>101</v>
      </c>
      <c r="E8" s="59">
        <v>69</v>
      </c>
      <c r="F8" s="59">
        <v>18</v>
      </c>
      <c r="G8" s="77">
        <v>7</v>
      </c>
    </row>
    <row r="9" spans="1:9" ht="15.75" x14ac:dyDescent="0.25">
      <c r="A9" s="280">
        <v>2016</v>
      </c>
      <c r="B9" s="123" t="s">
        <v>217</v>
      </c>
      <c r="C9" s="128">
        <v>13.6</v>
      </c>
      <c r="D9" s="78">
        <v>19.5</v>
      </c>
      <c r="E9" s="79">
        <v>9.3000000000000007</v>
      </c>
      <c r="F9" s="78">
        <v>23.1</v>
      </c>
      <c r="G9" s="78">
        <v>7.2</v>
      </c>
    </row>
    <row r="10" spans="1:9" ht="15.75" x14ac:dyDescent="0.25">
      <c r="A10" s="319">
        <v>2017</v>
      </c>
      <c r="B10" s="126" t="s">
        <v>165</v>
      </c>
      <c r="C10" s="127">
        <v>199</v>
      </c>
      <c r="D10" s="190">
        <v>108</v>
      </c>
      <c r="E10" s="167">
        <v>67</v>
      </c>
      <c r="F10" s="190">
        <v>20</v>
      </c>
      <c r="G10" s="190">
        <v>4</v>
      </c>
    </row>
    <row r="11" spans="1:9" ht="15.75" x14ac:dyDescent="0.25">
      <c r="A11" s="280">
        <v>2017</v>
      </c>
      <c r="B11" s="123" t="s">
        <v>218</v>
      </c>
      <c r="C11" s="128">
        <v>13.1</v>
      </c>
      <c r="D11" s="78">
        <v>18.7</v>
      </c>
      <c r="E11" s="79">
        <v>8.9</v>
      </c>
      <c r="F11" s="78">
        <v>21.9</v>
      </c>
      <c r="G11" s="78">
        <v>4.2</v>
      </c>
    </row>
    <row r="12" spans="1:9" ht="15.75" x14ac:dyDescent="0.25">
      <c r="A12" s="319">
        <v>2018</v>
      </c>
      <c r="B12" s="126" t="s">
        <v>165</v>
      </c>
      <c r="C12" s="127">
        <v>236</v>
      </c>
      <c r="D12" s="190">
        <v>135</v>
      </c>
      <c r="E12" s="167">
        <v>74</v>
      </c>
      <c r="F12" s="190">
        <v>20</v>
      </c>
      <c r="G12" s="190">
        <v>7</v>
      </c>
    </row>
    <row r="13" spans="1:9" ht="15.75" x14ac:dyDescent="0.25">
      <c r="A13" s="280">
        <v>2018</v>
      </c>
      <c r="B13" s="123" t="s">
        <v>218</v>
      </c>
      <c r="C13" s="128">
        <v>15.6</v>
      </c>
      <c r="D13" s="78">
        <v>23.4</v>
      </c>
      <c r="E13" s="79">
        <v>9.9</v>
      </c>
      <c r="F13" s="78">
        <v>21.9</v>
      </c>
      <c r="G13" s="78">
        <v>7.3</v>
      </c>
    </row>
    <row r="14" spans="1:9" ht="15.75" x14ac:dyDescent="0.25">
      <c r="A14" s="319">
        <v>2019</v>
      </c>
      <c r="B14" s="126" t="s">
        <v>165</v>
      </c>
      <c r="C14" s="127">
        <v>205</v>
      </c>
      <c r="D14" s="190">
        <v>127</v>
      </c>
      <c r="E14" s="167">
        <v>58</v>
      </c>
      <c r="F14" s="190">
        <v>15</v>
      </c>
      <c r="G14" s="190">
        <v>5</v>
      </c>
    </row>
    <row r="15" spans="1:9" ht="15.75" x14ac:dyDescent="0.25">
      <c r="A15" s="280">
        <v>2019</v>
      </c>
      <c r="B15" s="123" t="s">
        <v>218</v>
      </c>
      <c r="C15" s="128">
        <v>13.5</v>
      </c>
      <c r="D15" s="78">
        <v>22</v>
      </c>
      <c r="E15" s="79">
        <v>7.7</v>
      </c>
      <c r="F15" s="78">
        <v>16.5</v>
      </c>
      <c r="G15" s="78">
        <v>5.2</v>
      </c>
    </row>
    <row r="16" spans="1:9" ht="15.75" x14ac:dyDescent="0.25">
      <c r="A16" s="319">
        <v>2020</v>
      </c>
      <c r="B16" s="126" t="s">
        <v>165</v>
      </c>
      <c r="C16" s="127">
        <v>219</v>
      </c>
      <c r="D16" s="190">
        <v>132</v>
      </c>
      <c r="E16" s="167">
        <v>61</v>
      </c>
      <c r="F16" s="190">
        <v>22</v>
      </c>
      <c r="G16" s="190">
        <v>4</v>
      </c>
    </row>
    <row r="17" spans="1:9" ht="15.75" x14ac:dyDescent="0.25">
      <c r="A17" s="467">
        <v>2020</v>
      </c>
      <c r="B17" s="124" t="s">
        <v>218</v>
      </c>
      <c r="C17" s="132">
        <v>14.5</v>
      </c>
      <c r="D17" s="100">
        <v>22.9</v>
      </c>
      <c r="E17" s="101">
        <v>8.1</v>
      </c>
      <c r="F17" s="100">
        <v>24.1</v>
      </c>
      <c r="G17" s="100">
        <v>4.0999999999999996</v>
      </c>
    </row>
    <row r="18" spans="1:9" s="15" customFormat="1" ht="15.75" x14ac:dyDescent="0.25">
      <c r="A18" s="280">
        <v>2021</v>
      </c>
      <c r="B18" s="129" t="s">
        <v>165</v>
      </c>
      <c r="C18" s="125">
        <v>237</v>
      </c>
      <c r="D18" s="84">
        <v>153</v>
      </c>
      <c r="E18" s="83">
        <v>57</v>
      </c>
      <c r="F18" s="84">
        <v>22</v>
      </c>
      <c r="G18" s="84">
        <v>5</v>
      </c>
      <c r="H18" s="86"/>
      <c r="I18" s="86"/>
    </row>
    <row r="19" spans="1:9" s="15" customFormat="1" ht="15.75" x14ac:dyDescent="0.25">
      <c r="A19" s="280">
        <v>2021</v>
      </c>
      <c r="B19" s="123" t="s">
        <v>218</v>
      </c>
      <c r="C19" s="128">
        <v>15.6</v>
      </c>
      <c r="D19" s="78">
        <v>26.5</v>
      </c>
      <c r="E19" s="79">
        <v>7.6</v>
      </c>
      <c r="F19" s="78">
        <v>24.1</v>
      </c>
      <c r="G19" s="78">
        <v>5.2</v>
      </c>
      <c r="H19" s="86"/>
      <c r="I19" s="86"/>
    </row>
    <row r="20" spans="1:9" s="15" customFormat="1" ht="15.75" x14ac:dyDescent="0.25">
      <c r="A20" s="319">
        <v>2022</v>
      </c>
      <c r="B20" s="126" t="s">
        <v>165</v>
      </c>
      <c r="C20" s="127">
        <v>203</v>
      </c>
      <c r="D20" s="59">
        <v>102</v>
      </c>
      <c r="E20" s="59">
        <v>71</v>
      </c>
      <c r="F20" s="59">
        <v>19</v>
      </c>
      <c r="G20" s="77">
        <v>11</v>
      </c>
      <c r="H20" s="86"/>
      <c r="I20" s="86"/>
    </row>
    <row r="21" spans="1:9" ht="15.75" x14ac:dyDescent="0.25">
      <c r="A21" s="280">
        <v>2022</v>
      </c>
      <c r="B21" s="123" t="s">
        <v>218</v>
      </c>
      <c r="C21" s="128">
        <v>13.4</v>
      </c>
      <c r="D21" s="78">
        <v>17.7</v>
      </c>
      <c r="E21" s="79">
        <v>9.5</v>
      </c>
      <c r="F21" s="78">
        <v>20.8</v>
      </c>
      <c r="G21" s="78">
        <v>11.4</v>
      </c>
      <c r="H21" s="86"/>
      <c r="I21" s="86"/>
    </row>
    <row r="22" spans="1:9" ht="15.75" x14ac:dyDescent="0.25">
      <c r="A22" s="319">
        <v>2023</v>
      </c>
      <c r="B22" s="126" t="s">
        <v>165</v>
      </c>
      <c r="C22" s="127">
        <v>221</v>
      </c>
      <c r="D22" s="59">
        <v>125</v>
      </c>
      <c r="E22" s="59">
        <v>72</v>
      </c>
      <c r="F22" s="59">
        <v>16</v>
      </c>
      <c r="G22" s="77">
        <v>8</v>
      </c>
      <c r="H22" s="86"/>
      <c r="I22" s="86"/>
    </row>
    <row r="23" spans="1:9" ht="15.75" x14ac:dyDescent="0.25">
      <c r="A23" s="280">
        <v>2023</v>
      </c>
      <c r="B23" s="123" t="s">
        <v>218</v>
      </c>
      <c r="C23" s="128">
        <v>14.6</v>
      </c>
      <c r="D23" s="78">
        <v>21.7</v>
      </c>
      <c r="E23" s="79">
        <v>9.6</v>
      </c>
      <c r="F23" s="78">
        <v>17.600000000000001</v>
      </c>
      <c r="G23" s="78">
        <v>8.3000000000000007</v>
      </c>
      <c r="H23" s="86"/>
      <c r="I23" s="86"/>
    </row>
    <row r="24" spans="1:9" ht="15.75" x14ac:dyDescent="0.25">
      <c r="A24" s="319">
        <v>2024</v>
      </c>
      <c r="B24" s="126" t="s">
        <v>165</v>
      </c>
      <c r="C24" s="127">
        <v>290</v>
      </c>
      <c r="D24" s="59">
        <v>178</v>
      </c>
      <c r="E24" s="59">
        <v>69</v>
      </c>
      <c r="F24" s="59">
        <v>25</v>
      </c>
      <c r="G24" s="77">
        <v>18</v>
      </c>
    </row>
    <row r="25" spans="1:9" ht="15.75" x14ac:dyDescent="0.25">
      <c r="A25" s="280">
        <v>2024</v>
      </c>
      <c r="B25" s="123" t="s">
        <v>218</v>
      </c>
      <c r="C25" s="128">
        <v>19.100000000000001</v>
      </c>
      <c r="D25" s="78">
        <v>30.9</v>
      </c>
      <c r="E25" s="79">
        <v>9.1999999999999993</v>
      </c>
      <c r="F25" s="78">
        <v>27.4</v>
      </c>
      <c r="G25" s="78">
        <v>18.7</v>
      </c>
    </row>
    <row r="27" spans="1:9" x14ac:dyDescent="0.2">
      <c r="C27" s="45"/>
      <c r="D27" s="45"/>
      <c r="E27" s="45"/>
      <c r="F27" s="228"/>
      <c r="G27" s="45"/>
    </row>
    <row r="28" spans="1:9" x14ac:dyDescent="0.2">
      <c r="C28" s="45"/>
      <c r="D28" s="45"/>
      <c r="E28" s="45"/>
      <c r="F28" s="45"/>
      <c r="G28" s="45"/>
    </row>
    <row r="32" spans="1:9" ht="15" x14ac:dyDescent="0.25">
      <c r="C32" s="224"/>
      <c r="D32" s="225"/>
      <c r="E32" s="225"/>
      <c r="F32" s="225"/>
      <c r="G32" s="225"/>
      <c r="H32" s="225"/>
      <c r="I32" s="225"/>
    </row>
    <row r="33" spans="3:9" ht="15" x14ac:dyDescent="0.2">
      <c r="C33" s="226"/>
      <c r="D33" s="226"/>
      <c r="E33" s="226"/>
      <c r="F33" s="226"/>
      <c r="G33" s="226"/>
      <c r="H33" s="226"/>
      <c r="I33" s="226"/>
    </row>
    <row r="34" spans="3:9" x14ac:dyDescent="0.2">
      <c r="G34" s="1"/>
    </row>
    <row r="35" spans="3:9" x14ac:dyDescent="0.2">
      <c r="E35" s="227"/>
    </row>
  </sheetData>
  <hyperlinks>
    <hyperlink ref="A4" location="'Table List'!A1" display="Table list" xr:uid="{5032F95D-165F-4F56-BA4A-9092B132D769}"/>
    <hyperlink ref="A3" location="Notes!A1" display="Notes" xr:uid="{ED682465-7E10-4D6A-9276-DE8657A92676}"/>
  </hyperlink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EA8DD-FDE6-4D37-AD98-296B54C882F8}">
  <sheetPr>
    <tabColor theme="3" tint="0.79998168889431442"/>
  </sheetPr>
  <dimension ref="A1:M27"/>
  <sheetViews>
    <sheetView showGridLines="0" zoomScaleNormal="100" workbookViewId="0">
      <selection activeCell="B1" sqref="B1"/>
    </sheetView>
  </sheetViews>
  <sheetFormatPr defaultRowHeight="12.75" x14ac:dyDescent="0.2"/>
  <sheetData>
    <row r="1" spans="1:13" s="29" customFormat="1" ht="19.5" x14ac:dyDescent="0.3">
      <c r="A1" s="12" t="s">
        <v>294</v>
      </c>
      <c r="B1" s="7"/>
      <c r="C1" s="7"/>
      <c r="D1" s="7"/>
      <c r="E1" s="7"/>
      <c r="F1" s="7"/>
      <c r="G1" s="7"/>
      <c r="H1" s="7"/>
      <c r="I1" s="7"/>
      <c r="J1" s="7"/>
      <c r="K1" s="7"/>
      <c r="M1" s="2"/>
    </row>
    <row r="2" spans="1:13" s="29" customFormat="1" ht="19.5" x14ac:dyDescent="0.3">
      <c r="A2" s="12" t="s">
        <v>295</v>
      </c>
      <c r="B2" s="7"/>
      <c r="C2" s="7"/>
      <c r="D2" s="7"/>
      <c r="E2" s="7"/>
      <c r="F2" s="7"/>
      <c r="G2" s="7"/>
      <c r="H2" s="7"/>
      <c r="I2" s="7"/>
      <c r="J2" s="7"/>
      <c r="K2" s="7"/>
      <c r="M2" s="2"/>
    </row>
    <row r="3" spans="1:13" ht="15.75" x14ac:dyDescent="0.25">
      <c r="A3" s="97" t="s">
        <v>287</v>
      </c>
      <c r="B3" s="94"/>
      <c r="C3" s="95"/>
      <c r="D3" s="95"/>
      <c r="E3" s="95"/>
      <c r="F3" s="95"/>
      <c r="G3" s="95"/>
    </row>
    <row r="4" spans="1:13" ht="15.75" x14ac:dyDescent="0.25">
      <c r="A4" s="98" t="s">
        <v>197</v>
      </c>
      <c r="B4" s="94"/>
      <c r="C4" s="95"/>
      <c r="D4" s="95"/>
      <c r="E4" s="95"/>
      <c r="F4" s="95"/>
      <c r="G4" s="95"/>
      <c r="H4" s="92"/>
      <c r="I4" s="96"/>
    </row>
    <row r="6" spans="1:13" x14ac:dyDescent="0.2">
      <c r="A6" s="29"/>
    </row>
    <row r="27" spans="3:3" x14ac:dyDescent="0.2">
      <c r="C27" s="47"/>
    </row>
  </sheetData>
  <hyperlinks>
    <hyperlink ref="A4" location="'Table List'!A1" display="Table list" xr:uid="{1B103410-18A3-46D8-9EA5-0F729E26A2B9}"/>
    <hyperlink ref="A3" location="Notes!A1" display="Notes" xr:uid="{4E54F5A3-2BD6-4E63-84FD-F748BEB99E8C}"/>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79998168889431442"/>
  </sheetPr>
  <dimension ref="A1:K28"/>
  <sheetViews>
    <sheetView showGridLines="0" workbookViewId="0"/>
  </sheetViews>
  <sheetFormatPr defaultRowHeight="12.75" x14ac:dyDescent="0.2"/>
  <cols>
    <col min="1" max="1" width="19" customWidth="1"/>
    <col min="2" max="2" width="14.42578125" customWidth="1"/>
    <col min="3" max="3" width="11.140625" customWidth="1"/>
    <col min="4" max="4" width="10.42578125" customWidth="1"/>
    <col min="5" max="5" width="15.42578125" customWidth="1"/>
    <col min="6" max="6" width="14.42578125" customWidth="1"/>
    <col min="7" max="7" width="14.5703125" customWidth="1"/>
  </cols>
  <sheetData>
    <row r="1" spans="1:10" ht="19.5" x14ac:dyDescent="0.3">
      <c r="A1" s="12" t="s">
        <v>297</v>
      </c>
      <c r="B1" s="7"/>
      <c r="C1" s="7"/>
      <c r="D1" s="7"/>
      <c r="E1" s="7"/>
    </row>
    <row r="2" spans="1:10" ht="19.5" x14ac:dyDescent="0.3">
      <c r="A2" s="12" t="s">
        <v>275</v>
      </c>
      <c r="B2" s="7"/>
      <c r="C2" s="7"/>
      <c r="D2" s="7"/>
      <c r="E2" s="7"/>
      <c r="J2" s="31"/>
    </row>
    <row r="3" spans="1:10" ht="15.75" x14ac:dyDescent="0.25">
      <c r="A3" s="97" t="s">
        <v>196</v>
      </c>
      <c r="B3" s="94"/>
      <c r="C3" s="95"/>
      <c r="D3" s="95"/>
      <c r="E3" s="95"/>
      <c r="F3" s="95"/>
      <c r="G3" s="95"/>
    </row>
    <row r="4" spans="1:10" ht="16.5" thickBot="1" x14ac:dyDescent="0.3">
      <c r="A4" s="98" t="s">
        <v>197</v>
      </c>
      <c r="B4" s="94"/>
      <c r="C4" s="95"/>
      <c r="D4" s="95"/>
      <c r="E4" s="95"/>
      <c r="F4" s="95"/>
      <c r="G4" s="95"/>
      <c r="H4" s="92"/>
    </row>
    <row r="5" spans="1:10" ht="16.5" thickBot="1" x14ac:dyDescent="0.3">
      <c r="A5" s="154" t="s">
        <v>11</v>
      </c>
      <c r="B5" s="342" t="s">
        <v>133</v>
      </c>
      <c r="C5" s="340" t="s">
        <v>12</v>
      </c>
      <c r="D5" s="341" t="s">
        <v>13</v>
      </c>
      <c r="E5" s="342" t="s">
        <v>169</v>
      </c>
      <c r="F5" s="340" t="s">
        <v>155</v>
      </c>
      <c r="G5" s="343" t="s">
        <v>156</v>
      </c>
    </row>
    <row r="6" spans="1:10" ht="15.75" x14ac:dyDescent="0.25">
      <c r="A6" s="278">
        <v>2004</v>
      </c>
      <c r="B6" s="171">
        <v>8.5</v>
      </c>
      <c r="C6" s="172">
        <v>12.5</v>
      </c>
      <c r="D6" s="173">
        <v>4.7</v>
      </c>
      <c r="E6" s="174">
        <v>9.8000000000000007</v>
      </c>
      <c r="F6" s="175">
        <v>14.3</v>
      </c>
      <c r="G6" s="175">
        <v>5.5</v>
      </c>
    </row>
    <row r="7" spans="1:10" ht="15.75" x14ac:dyDescent="0.25">
      <c r="A7" s="278">
        <v>2005</v>
      </c>
      <c r="B7" s="171">
        <v>12.3</v>
      </c>
      <c r="C7" s="172">
        <v>19.8</v>
      </c>
      <c r="D7" s="173">
        <v>5.2</v>
      </c>
      <c r="E7" s="174">
        <v>14.1</v>
      </c>
      <c r="F7" s="175">
        <v>22.1</v>
      </c>
      <c r="G7" s="175">
        <v>6.4</v>
      </c>
    </row>
    <row r="8" spans="1:10" ht="15.75" x14ac:dyDescent="0.25">
      <c r="A8" s="278">
        <v>2006</v>
      </c>
      <c r="B8" s="171">
        <v>16.7</v>
      </c>
      <c r="C8" s="172">
        <v>26.6</v>
      </c>
      <c r="D8" s="173">
        <v>7.2</v>
      </c>
      <c r="E8" s="174">
        <v>18.5</v>
      </c>
      <c r="F8" s="175">
        <v>29.3</v>
      </c>
      <c r="G8" s="175">
        <v>8.1</v>
      </c>
    </row>
    <row r="9" spans="1:10" ht="15.75" x14ac:dyDescent="0.25">
      <c r="A9" s="278">
        <v>2007</v>
      </c>
      <c r="B9" s="171">
        <v>13.7</v>
      </c>
      <c r="C9" s="172">
        <v>20.3</v>
      </c>
      <c r="D9" s="173">
        <v>7.4</v>
      </c>
      <c r="E9" s="174">
        <v>15.7</v>
      </c>
      <c r="F9" s="175">
        <v>23.2</v>
      </c>
      <c r="G9" s="175">
        <v>8.8000000000000007</v>
      </c>
    </row>
    <row r="10" spans="1:10" ht="15.75" x14ac:dyDescent="0.25">
      <c r="A10" s="278">
        <v>2008</v>
      </c>
      <c r="B10" s="171">
        <v>15.9</v>
      </c>
      <c r="C10" s="172">
        <v>25</v>
      </c>
      <c r="D10" s="176">
        <v>7</v>
      </c>
      <c r="E10" s="174">
        <v>17.399999999999999</v>
      </c>
      <c r="F10" s="175">
        <v>27.6</v>
      </c>
      <c r="G10" s="175">
        <v>7.8</v>
      </c>
    </row>
    <row r="11" spans="1:10" ht="15.75" x14ac:dyDescent="0.25">
      <c r="A11" s="278">
        <v>2009</v>
      </c>
      <c r="B11" s="171">
        <v>14.5</v>
      </c>
      <c r="C11" s="172">
        <v>23.3</v>
      </c>
      <c r="D11" s="176">
        <v>6</v>
      </c>
      <c r="E11" s="174">
        <v>16.100000000000001</v>
      </c>
      <c r="F11" s="175">
        <v>25.9</v>
      </c>
      <c r="G11" s="175">
        <v>6.7</v>
      </c>
    </row>
    <row r="12" spans="1:10" ht="15.75" x14ac:dyDescent="0.25">
      <c r="A12" s="278">
        <v>2010</v>
      </c>
      <c r="B12" s="171">
        <v>17.3</v>
      </c>
      <c r="C12" s="172">
        <v>27.1</v>
      </c>
      <c r="D12" s="173">
        <v>7.9</v>
      </c>
      <c r="E12" s="174">
        <v>19.3</v>
      </c>
      <c r="F12" s="175">
        <v>30.9</v>
      </c>
      <c r="G12" s="175">
        <v>8.8000000000000007</v>
      </c>
    </row>
    <row r="13" spans="1:10" ht="15.75" x14ac:dyDescent="0.25">
      <c r="A13" s="278">
        <v>2011</v>
      </c>
      <c r="B13" s="171">
        <v>15.9</v>
      </c>
      <c r="C13" s="172">
        <v>24.3</v>
      </c>
      <c r="D13" s="173">
        <v>7.9</v>
      </c>
      <c r="E13" s="174">
        <v>17.8</v>
      </c>
      <c r="F13" s="175">
        <v>27.2</v>
      </c>
      <c r="G13" s="175">
        <v>8.9</v>
      </c>
    </row>
    <row r="14" spans="1:10" ht="15.75" x14ac:dyDescent="0.25">
      <c r="A14" s="278">
        <v>2012</v>
      </c>
      <c r="B14" s="177">
        <v>15.2</v>
      </c>
      <c r="C14" s="172">
        <v>24</v>
      </c>
      <c r="D14" s="176">
        <v>6.8</v>
      </c>
      <c r="E14" s="174">
        <v>17.100000000000001</v>
      </c>
      <c r="F14" s="175">
        <v>26.8</v>
      </c>
      <c r="G14" s="175">
        <v>7.8</v>
      </c>
    </row>
    <row r="15" spans="1:10" ht="15.75" x14ac:dyDescent="0.25">
      <c r="A15" s="278">
        <v>2013</v>
      </c>
      <c r="B15" s="177">
        <v>16.5</v>
      </c>
      <c r="C15" s="172">
        <v>25.5</v>
      </c>
      <c r="D15" s="176">
        <v>7.9</v>
      </c>
      <c r="E15" s="174">
        <v>18.899999999999999</v>
      </c>
      <c r="F15" s="175">
        <v>29.2</v>
      </c>
      <c r="G15" s="175">
        <v>9.1</v>
      </c>
      <c r="I15" s="29"/>
      <c r="J15" s="29"/>
    </row>
    <row r="16" spans="1:10" ht="16.5" thickBot="1" x14ac:dyDescent="0.3">
      <c r="A16" s="279">
        <v>2014</v>
      </c>
      <c r="B16" s="178">
        <v>14.5</v>
      </c>
      <c r="C16" s="179">
        <v>22.9</v>
      </c>
      <c r="D16" s="180">
        <v>6.5</v>
      </c>
      <c r="E16" s="181">
        <v>16.399999999999999</v>
      </c>
      <c r="F16" s="182">
        <v>25.8</v>
      </c>
      <c r="G16" s="182">
        <v>7.4</v>
      </c>
      <c r="I16" s="29"/>
      <c r="J16" s="29"/>
    </row>
    <row r="17" spans="1:11" ht="15.75" x14ac:dyDescent="0.25">
      <c r="A17" s="280">
        <v>2015</v>
      </c>
      <c r="B17" s="183">
        <v>11.9</v>
      </c>
      <c r="C17" s="184">
        <v>19</v>
      </c>
      <c r="D17" s="185">
        <v>5</v>
      </c>
      <c r="E17" s="186">
        <v>13.4</v>
      </c>
      <c r="F17" s="187">
        <v>21.6</v>
      </c>
      <c r="G17" s="187">
        <v>5.6</v>
      </c>
      <c r="I17" s="48"/>
      <c r="J17" s="48"/>
      <c r="K17" s="46"/>
    </row>
    <row r="18" spans="1:11" ht="15.75" x14ac:dyDescent="0.25">
      <c r="A18" s="280">
        <v>2016</v>
      </c>
      <c r="B18" s="183">
        <v>10.4</v>
      </c>
      <c r="C18" s="184">
        <v>16.3</v>
      </c>
      <c r="D18" s="185">
        <v>4.8</v>
      </c>
      <c r="E18" s="186">
        <v>11.9</v>
      </c>
      <c r="F18" s="187">
        <v>18.5</v>
      </c>
      <c r="G18" s="187">
        <v>5.5</v>
      </c>
      <c r="I18" s="48"/>
      <c r="J18" s="48"/>
      <c r="K18" s="46"/>
    </row>
    <row r="19" spans="1:11" ht="15.75" x14ac:dyDescent="0.25">
      <c r="A19" s="280">
        <v>2017</v>
      </c>
      <c r="B19" s="183">
        <v>10.6</v>
      </c>
      <c r="C19" s="184">
        <v>16.399999999999999</v>
      </c>
      <c r="D19" s="185">
        <v>5</v>
      </c>
      <c r="E19" s="186">
        <v>12.1</v>
      </c>
      <c r="F19" s="187">
        <v>18.8</v>
      </c>
      <c r="G19" s="187">
        <v>5.7</v>
      </c>
      <c r="I19" s="29"/>
      <c r="J19" s="29"/>
    </row>
    <row r="20" spans="1:11" ht="15.75" x14ac:dyDescent="0.25">
      <c r="A20" s="280">
        <v>2018</v>
      </c>
      <c r="B20" s="183">
        <v>12.5</v>
      </c>
      <c r="C20" s="184">
        <v>19</v>
      </c>
      <c r="D20" s="185">
        <v>6.3</v>
      </c>
      <c r="E20" s="186">
        <v>14.3</v>
      </c>
      <c r="F20" s="187">
        <v>21.7</v>
      </c>
      <c r="G20" s="187">
        <v>7.2</v>
      </c>
      <c r="I20" s="29"/>
      <c r="J20" s="29"/>
    </row>
    <row r="21" spans="1:11" ht="15.75" x14ac:dyDescent="0.25">
      <c r="A21" s="280">
        <v>2019</v>
      </c>
      <c r="B21" s="183">
        <v>10.8</v>
      </c>
      <c r="C21" s="184">
        <v>16.600000000000001</v>
      </c>
      <c r="D21" s="185">
        <v>5.2</v>
      </c>
      <c r="E21" s="186">
        <v>12.4</v>
      </c>
      <c r="F21" s="187">
        <v>19</v>
      </c>
      <c r="G21" s="187">
        <v>6</v>
      </c>
      <c r="I21" s="29"/>
      <c r="J21" s="29"/>
    </row>
    <row r="22" spans="1:11" ht="15.75" x14ac:dyDescent="0.25">
      <c r="A22" s="280">
        <v>2020</v>
      </c>
      <c r="B22" s="183">
        <v>11.5</v>
      </c>
      <c r="C22" s="184">
        <v>17.100000000000001</v>
      </c>
      <c r="D22" s="185">
        <v>6.1</v>
      </c>
      <c r="E22" s="186">
        <v>13.2</v>
      </c>
      <c r="F22" s="187">
        <v>19.600000000000001</v>
      </c>
      <c r="G22" s="187">
        <v>7</v>
      </c>
      <c r="I22" s="29"/>
      <c r="J22" s="29"/>
    </row>
    <row r="23" spans="1:11" ht="15.75" x14ac:dyDescent="0.25">
      <c r="A23" s="280">
        <v>2021</v>
      </c>
      <c r="B23" s="183">
        <v>12.4</v>
      </c>
      <c r="C23" s="184">
        <v>18.8</v>
      </c>
      <c r="D23" s="185">
        <v>6.3</v>
      </c>
      <c r="E23" s="186">
        <v>14.3</v>
      </c>
      <c r="F23" s="187">
        <v>21.6</v>
      </c>
      <c r="G23" s="187">
        <v>7.2</v>
      </c>
      <c r="I23" s="29"/>
      <c r="J23" s="29"/>
    </row>
    <row r="24" spans="1:11" ht="15.75" x14ac:dyDescent="0.25">
      <c r="A24" s="280">
        <v>2022</v>
      </c>
      <c r="B24" s="183">
        <v>10.6</v>
      </c>
      <c r="C24" s="184">
        <v>16.600000000000001</v>
      </c>
      <c r="D24" s="185">
        <v>4.8</v>
      </c>
      <c r="E24" s="186">
        <v>12.3</v>
      </c>
      <c r="F24" s="187">
        <v>19.2</v>
      </c>
      <c r="G24" s="187">
        <v>5.7</v>
      </c>
      <c r="I24" s="29"/>
      <c r="J24" s="29"/>
    </row>
    <row r="25" spans="1:11" ht="15.75" x14ac:dyDescent="0.25">
      <c r="A25" s="280">
        <v>2023</v>
      </c>
      <c r="B25" s="183">
        <v>11.5</v>
      </c>
      <c r="C25" s="184">
        <v>18.100000000000001</v>
      </c>
      <c r="D25" s="185">
        <v>5.0999999999999996</v>
      </c>
      <c r="E25" s="186">
        <v>13.3</v>
      </c>
      <c r="F25" s="187">
        <v>20.9</v>
      </c>
      <c r="G25" s="187">
        <v>5.9</v>
      </c>
      <c r="I25" s="29"/>
      <c r="J25" s="29"/>
    </row>
    <row r="26" spans="1:11" ht="15.75" x14ac:dyDescent="0.25">
      <c r="A26" s="280">
        <v>2024</v>
      </c>
      <c r="B26" s="183">
        <v>15</v>
      </c>
      <c r="C26" s="184">
        <v>24.2</v>
      </c>
      <c r="D26" s="185">
        <v>6.1</v>
      </c>
      <c r="E26" s="186">
        <v>17.3876677528907</v>
      </c>
      <c r="F26" s="187">
        <v>28.019174833327099</v>
      </c>
      <c r="G26" s="187">
        <v>7.1025852810616099</v>
      </c>
      <c r="I26" s="29"/>
      <c r="J26" s="29"/>
    </row>
    <row r="27" spans="1:11" x14ac:dyDescent="0.2">
      <c r="I27" s="29"/>
      <c r="J27" s="29"/>
    </row>
    <row r="28" spans="1:11" x14ac:dyDescent="0.2">
      <c r="I28" s="29"/>
      <c r="J28" s="29"/>
    </row>
  </sheetData>
  <hyperlinks>
    <hyperlink ref="A4" location="'Table List'!A1" display="Table list" xr:uid="{5872375E-7C79-43AA-A77B-D3E370882944}"/>
    <hyperlink ref="A3" location="Notes!A1" display="Notes" xr:uid="{BB9CDB62-BF79-4252-9BD6-BF0460B559BE}"/>
  </hyperlinks>
  <pageMargins left="0.7" right="0.7" top="0.75" bottom="0.75" header="0.3" footer="0.3"/>
  <pageSetup orientation="portrait" horizontalDpi="90" verticalDpi="9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57B46-8E52-4E3A-A9B0-7B8E8517F8E9}">
  <sheetPr>
    <tabColor theme="3" tint="0.79998168889431442"/>
  </sheetPr>
  <dimension ref="A1:I4"/>
  <sheetViews>
    <sheetView showGridLines="0" workbookViewId="0"/>
  </sheetViews>
  <sheetFormatPr defaultRowHeight="12.75" x14ac:dyDescent="0.2"/>
  <sheetData>
    <row r="1" spans="1:9" ht="19.5" x14ac:dyDescent="0.3">
      <c r="A1" s="12" t="s">
        <v>298</v>
      </c>
    </row>
    <row r="2" spans="1:9" ht="19.5" x14ac:dyDescent="0.3">
      <c r="A2" s="12" t="s">
        <v>276</v>
      </c>
    </row>
    <row r="3" spans="1:9" ht="15.75" x14ac:dyDescent="0.25">
      <c r="A3" s="97" t="s">
        <v>287</v>
      </c>
      <c r="B3" s="94"/>
      <c r="C3" s="95"/>
      <c r="D3" s="95"/>
      <c r="E3" s="95"/>
      <c r="F3" s="95"/>
      <c r="G3" s="95"/>
    </row>
    <row r="4" spans="1:9" ht="15.75" x14ac:dyDescent="0.25">
      <c r="A4" s="98" t="s">
        <v>197</v>
      </c>
      <c r="B4" s="94"/>
      <c r="C4" s="95"/>
      <c r="D4" s="95"/>
      <c r="E4" s="95"/>
      <c r="F4" s="95"/>
      <c r="G4" s="95"/>
      <c r="H4" s="92"/>
      <c r="I4" s="96"/>
    </row>
  </sheetData>
  <hyperlinks>
    <hyperlink ref="A4" location="'Table List'!A1" display="Table list" xr:uid="{E9787791-C38C-4489-90C4-B8C537E1E774}"/>
    <hyperlink ref="A3" location="Notes!A1" display="Notes" xr:uid="{EB88FC1C-A2E8-4133-AFE7-3B444871306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79998168889431442"/>
  </sheetPr>
  <dimension ref="A1:IA15"/>
  <sheetViews>
    <sheetView showGridLines="0" workbookViewId="0">
      <selection activeCell="B6" sqref="B6"/>
    </sheetView>
  </sheetViews>
  <sheetFormatPr defaultRowHeight="12.75" x14ac:dyDescent="0.2"/>
  <cols>
    <col min="1" max="1" width="13.42578125" customWidth="1"/>
    <col min="2" max="2" width="11" customWidth="1"/>
    <col min="3" max="3" width="11.140625" customWidth="1"/>
    <col min="4" max="4" width="5.42578125" customWidth="1"/>
    <col min="5" max="23" width="6.5703125" customWidth="1"/>
    <col min="24" max="24" width="7.42578125" customWidth="1"/>
    <col min="25" max="25" width="19" customWidth="1"/>
    <col min="26" max="26" width="8.42578125" customWidth="1"/>
  </cols>
  <sheetData>
    <row r="1" spans="1:235" s="347" customFormat="1" ht="19.5" x14ac:dyDescent="0.3">
      <c r="A1" s="12" t="s">
        <v>299</v>
      </c>
      <c r="B1" s="12"/>
      <c r="C1" s="12"/>
      <c r="D1" s="344"/>
      <c r="E1" s="344"/>
      <c r="F1" s="344"/>
      <c r="G1" s="344"/>
      <c r="H1" s="344"/>
      <c r="I1" s="344"/>
      <c r="J1" s="344"/>
      <c r="K1" s="344"/>
      <c r="L1" s="345"/>
      <c r="M1" s="345"/>
      <c r="N1" s="345"/>
      <c r="O1" s="345"/>
      <c r="P1" s="345"/>
      <c r="Q1" s="345"/>
      <c r="R1" s="345"/>
      <c r="S1" s="346"/>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345"/>
      <c r="AU1" s="345"/>
      <c r="AV1" s="345"/>
      <c r="AW1" s="345"/>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5"/>
      <c r="CC1" s="345"/>
      <c r="CD1" s="345"/>
      <c r="CE1" s="345"/>
      <c r="CF1" s="345"/>
      <c r="CG1" s="345"/>
      <c r="CH1" s="345"/>
      <c r="CI1" s="345"/>
      <c r="CJ1" s="345"/>
      <c r="CK1" s="345"/>
      <c r="CL1" s="345"/>
      <c r="CM1" s="345"/>
      <c r="CN1" s="345"/>
      <c r="CO1" s="345"/>
      <c r="CP1" s="345"/>
      <c r="CQ1" s="345"/>
      <c r="CR1" s="345"/>
      <c r="CS1" s="345"/>
      <c r="CT1" s="345"/>
      <c r="CU1" s="345"/>
      <c r="CV1" s="345"/>
      <c r="CW1" s="345"/>
      <c r="CX1" s="345"/>
      <c r="CY1" s="345"/>
      <c r="CZ1" s="345"/>
      <c r="DA1" s="345"/>
      <c r="DB1" s="345"/>
      <c r="DC1" s="345"/>
      <c r="DD1" s="345"/>
      <c r="DE1" s="345"/>
      <c r="DF1" s="345"/>
      <c r="DG1" s="345"/>
      <c r="DH1" s="345"/>
      <c r="DI1" s="345"/>
      <c r="DJ1" s="345"/>
      <c r="DK1" s="345"/>
      <c r="DL1" s="345"/>
      <c r="DM1" s="345"/>
      <c r="DN1" s="345"/>
      <c r="DO1" s="345"/>
      <c r="DP1" s="345"/>
      <c r="DQ1" s="345"/>
      <c r="DR1" s="345"/>
      <c r="DS1" s="345"/>
      <c r="DT1" s="345"/>
      <c r="DU1" s="345"/>
      <c r="DV1" s="345"/>
      <c r="DW1" s="345"/>
      <c r="DX1" s="345"/>
      <c r="DY1" s="345"/>
      <c r="DZ1" s="345"/>
      <c r="EA1" s="345"/>
      <c r="EB1" s="345"/>
      <c r="EC1" s="345"/>
      <c r="ED1" s="345"/>
      <c r="EE1" s="345"/>
      <c r="EF1" s="345"/>
      <c r="EG1" s="345"/>
      <c r="EH1" s="345"/>
      <c r="EI1" s="345"/>
      <c r="EJ1" s="345"/>
      <c r="EK1" s="345"/>
      <c r="EL1" s="345"/>
      <c r="EM1" s="345"/>
      <c r="EN1" s="345"/>
      <c r="EO1" s="345"/>
      <c r="EP1" s="345"/>
      <c r="EQ1" s="345"/>
      <c r="ER1" s="345"/>
      <c r="ES1" s="345"/>
      <c r="ET1" s="345"/>
      <c r="EU1" s="345"/>
      <c r="EV1" s="345"/>
      <c r="EW1" s="345"/>
      <c r="EX1" s="345"/>
      <c r="EY1" s="345"/>
      <c r="EZ1" s="345"/>
      <c r="FA1" s="345"/>
      <c r="FB1" s="345"/>
      <c r="FC1" s="345"/>
      <c r="FD1" s="345"/>
      <c r="FE1" s="345"/>
      <c r="FF1" s="345"/>
      <c r="FG1" s="345"/>
      <c r="FH1" s="345"/>
      <c r="FI1" s="345"/>
      <c r="FJ1" s="345"/>
      <c r="FK1" s="345"/>
      <c r="FL1" s="345"/>
      <c r="FM1" s="345"/>
      <c r="FN1" s="345"/>
      <c r="FO1" s="345"/>
      <c r="FP1" s="345"/>
      <c r="FQ1" s="345"/>
      <c r="FR1" s="345"/>
      <c r="FS1" s="345"/>
      <c r="FT1" s="345"/>
      <c r="FU1" s="345"/>
      <c r="FV1" s="345"/>
      <c r="FW1" s="345"/>
      <c r="FX1" s="345"/>
      <c r="FY1" s="345"/>
      <c r="FZ1" s="345"/>
      <c r="GA1" s="345"/>
      <c r="GB1" s="345"/>
      <c r="GC1" s="345"/>
      <c r="GD1" s="345"/>
      <c r="GE1" s="345"/>
      <c r="GF1" s="345"/>
      <c r="GG1" s="345"/>
      <c r="GH1" s="345"/>
      <c r="GI1" s="345"/>
      <c r="GJ1" s="345"/>
      <c r="GK1" s="345"/>
      <c r="GL1" s="345"/>
      <c r="GM1" s="345"/>
      <c r="GN1" s="345"/>
      <c r="GO1" s="345"/>
      <c r="GP1" s="345"/>
      <c r="GQ1" s="345"/>
      <c r="GR1" s="345"/>
      <c r="GS1" s="345"/>
      <c r="GT1" s="345"/>
      <c r="GU1" s="345"/>
      <c r="GV1" s="345"/>
      <c r="GW1" s="345"/>
      <c r="GX1" s="345"/>
      <c r="GY1" s="345"/>
      <c r="GZ1" s="345"/>
      <c r="HA1" s="345"/>
      <c r="HB1" s="345"/>
      <c r="HC1" s="345"/>
      <c r="HD1" s="345"/>
      <c r="HE1" s="345"/>
      <c r="HF1" s="345"/>
      <c r="HG1" s="345"/>
      <c r="HH1" s="345"/>
      <c r="HI1" s="345"/>
      <c r="HJ1" s="345"/>
      <c r="HK1" s="345"/>
      <c r="HL1" s="345"/>
      <c r="HM1" s="345"/>
      <c r="HN1" s="345"/>
      <c r="HO1" s="345"/>
      <c r="HP1" s="345"/>
      <c r="HQ1" s="345"/>
      <c r="HR1" s="345"/>
      <c r="HS1" s="345"/>
      <c r="HT1" s="345"/>
      <c r="HU1" s="345"/>
      <c r="HV1" s="345"/>
      <c r="HW1" s="345"/>
      <c r="HX1" s="345"/>
      <c r="HY1" s="345"/>
      <c r="HZ1" s="345"/>
      <c r="IA1" s="345"/>
    </row>
    <row r="2" spans="1:235" s="347" customFormat="1" ht="19.5" x14ac:dyDescent="0.3">
      <c r="A2" s="12" t="s">
        <v>303</v>
      </c>
      <c r="B2" s="12"/>
      <c r="C2" s="12"/>
      <c r="D2" s="344"/>
      <c r="E2" s="344"/>
      <c r="F2" s="344"/>
      <c r="G2" s="344"/>
      <c r="H2" s="344"/>
      <c r="I2" s="344"/>
      <c r="J2" s="344"/>
      <c r="K2" s="344"/>
      <c r="L2" s="345"/>
      <c r="M2" s="345"/>
      <c r="N2" s="345"/>
      <c r="O2" s="345"/>
      <c r="P2" s="345"/>
      <c r="Q2" s="345"/>
      <c r="R2" s="345"/>
      <c r="S2" s="346"/>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5"/>
      <c r="AV2" s="345"/>
      <c r="AW2" s="345"/>
      <c r="AX2" s="345"/>
      <c r="AY2" s="345"/>
      <c r="AZ2" s="345"/>
      <c r="BA2" s="345"/>
      <c r="BB2" s="345"/>
      <c r="BC2" s="345"/>
      <c r="BD2" s="345"/>
      <c r="BE2" s="345"/>
      <c r="BF2" s="345"/>
      <c r="BG2" s="345"/>
      <c r="BH2" s="345"/>
      <c r="BI2" s="345"/>
      <c r="BJ2" s="345"/>
      <c r="BK2" s="345"/>
      <c r="BL2" s="345"/>
      <c r="BM2" s="345"/>
      <c r="BN2" s="345"/>
      <c r="BO2" s="345"/>
      <c r="BP2" s="345"/>
      <c r="BQ2" s="345"/>
      <c r="BR2" s="345"/>
      <c r="BS2" s="345"/>
      <c r="BT2" s="345"/>
      <c r="BU2" s="345"/>
      <c r="BV2" s="345"/>
      <c r="BW2" s="345"/>
      <c r="BX2" s="345"/>
      <c r="BY2" s="345"/>
      <c r="BZ2" s="345"/>
      <c r="CA2" s="345"/>
      <c r="CB2" s="345"/>
      <c r="CC2" s="345"/>
      <c r="CD2" s="345"/>
      <c r="CE2" s="345"/>
      <c r="CF2" s="345"/>
      <c r="CG2" s="345"/>
      <c r="CH2" s="345"/>
      <c r="CI2" s="345"/>
      <c r="CJ2" s="345"/>
      <c r="CK2" s="345"/>
      <c r="CL2" s="345"/>
      <c r="CM2" s="345"/>
      <c r="CN2" s="345"/>
      <c r="CO2" s="345"/>
      <c r="CP2" s="345"/>
      <c r="CQ2" s="345"/>
      <c r="CR2" s="345"/>
      <c r="CS2" s="345"/>
      <c r="CT2" s="345"/>
      <c r="CU2" s="345"/>
      <c r="CV2" s="345"/>
      <c r="CW2" s="345"/>
      <c r="CX2" s="345"/>
      <c r="CY2" s="345"/>
      <c r="CZ2" s="345"/>
      <c r="DA2" s="345"/>
      <c r="DB2" s="345"/>
      <c r="DC2" s="345"/>
      <c r="DD2" s="345"/>
      <c r="DE2" s="345"/>
      <c r="DF2" s="345"/>
      <c r="DG2" s="345"/>
      <c r="DH2" s="345"/>
      <c r="DI2" s="345"/>
      <c r="DJ2" s="345"/>
      <c r="DK2" s="345"/>
      <c r="DL2" s="345"/>
      <c r="DM2" s="345"/>
      <c r="DN2" s="345"/>
      <c r="DO2" s="345"/>
      <c r="DP2" s="345"/>
      <c r="DQ2" s="345"/>
      <c r="DR2" s="345"/>
      <c r="DS2" s="345"/>
      <c r="DT2" s="345"/>
      <c r="DU2" s="345"/>
      <c r="DV2" s="345"/>
      <c r="DW2" s="345"/>
      <c r="DX2" s="345"/>
      <c r="DY2" s="345"/>
      <c r="DZ2" s="345"/>
      <c r="EA2" s="345"/>
      <c r="EB2" s="345"/>
      <c r="EC2" s="345"/>
      <c r="ED2" s="345"/>
      <c r="EE2" s="345"/>
      <c r="EF2" s="345"/>
      <c r="EG2" s="345"/>
      <c r="EH2" s="345"/>
      <c r="EI2" s="345"/>
      <c r="EJ2" s="345"/>
      <c r="EK2" s="345"/>
      <c r="EL2" s="345"/>
      <c r="EM2" s="345"/>
      <c r="EN2" s="345"/>
      <c r="EO2" s="345"/>
      <c r="EP2" s="345"/>
      <c r="EQ2" s="345"/>
      <c r="ER2" s="345"/>
      <c r="ES2" s="345"/>
      <c r="ET2" s="345"/>
      <c r="EU2" s="345"/>
      <c r="EV2" s="345"/>
      <c r="EW2" s="345"/>
      <c r="EX2" s="345"/>
      <c r="EY2" s="345"/>
      <c r="EZ2" s="345"/>
      <c r="FA2" s="345"/>
      <c r="FB2" s="345"/>
      <c r="FC2" s="345"/>
      <c r="FD2" s="345"/>
      <c r="FE2" s="345"/>
      <c r="FF2" s="345"/>
      <c r="FG2" s="345"/>
      <c r="FH2" s="345"/>
      <c r="FI2" s="345"/>
      <c r="FJ2" s="345"/>
      <c r="FK2" s="345"/>
      <c r="FL2" s="345"/>
      <c r="FM2" s="345"/>
      <c r="FN2" s="345"/>
      <c r="FO2" s="345"/>
      <c r="FP2" s="345"/>
      <c r="FQ2" s="345"/>
      <c r="FR2" s="345"/>
      <c r="FS2" s="345"/>
      <c r="FT2" s="345"/>
      <c r="FU2" s="345"/>
      <c r="FV2" s="345"/>
      <c r="FW2" s="345"/>
      <c r="FX2" s="345"/>
      <c r="FY2" s="345"/>
      <c r="FZ2" s="345"/>
      <c r="GA2" s="345"/>
      <c r="GB2" s="345"/>
      <c r="GC2" s="345"/>
      <c r="GD2" s="345"/>
      <c r="GE2" s="345"/>
      <c r="GF2" s="345"/>
      <c r="GG2" s="345"/>
      <c r="GH2" s="345"/>
      <c r="GI2" s="345"/>
      <c r="GJ2" s="345"/>
      <c r="GK2" s="345"/>
      <c r="GL2" s="345"/>
      <c r="GM2" s="345"/>
      <c r="GN2" s="345"/>
      <c r="GO2" s="345"/>
      <c r="GP2" s="345"/>
      <c r="GQ2" s="345"/>
      <c r="GR2" s="345"/>
      <c r="GS2" s="345"/>
      <c r="GT2" s="345"/>
      <c r="GU2" s="345"/>
      <c r="GV2" s="345"/>
      <c r="GW2" s="345"/>
      <c r="GX2" s="345"/>
      <c r="GY2" s="345"/>
      <c r="GZ2" s="345"/>
      <c r="HA2" s="345"/>
      <c r="HB2" s="345"/>
      <c r="HC2" s="345"/>
      <c r="HD2" s="345"/>
      <c r="HE2" s="345"/>
      <c r="HF2" s="345"/>
      <c r="HG2" s="345"/>
      <c r="HH2" s="345"/>
      <c r="HI2" s="345"/>
      <c r="HJ2" s="345"/>
      <c r="HK2" s="345"/>
      <c r="HL2" s="345"/>
      <c r="HM2" s="345"/>
      <c r="HN2" s="345"/>
      <c r="HO2" s="345"/>
      <c r="HP2" s="345"/>
      <c r="HQ2" s="345"/>
      <c r="HR2" s="345"/>
      <c r="HS2" s="345"/>
      <c r="HT2" s="345"/>
      <c r="HU2" s="345"/>
      <c r="HV2" s="345"/>
      <c r="HW2" s="345"/>
      <c r="HX2" s="345"/>
      <c r="HY2" s="345"/>
      <c r="HZ2" s="345"/>
      <c r="IA2" s="345"/>
    </row>
    <row r="3" spans="1:235" ht="15.6" customHeight="1" x14ac:dyDescent="0.25">
      <c r="A3" s="97" t="s">
        <v>196</v>
      </c>
      <c r="B3" s="97"/>
      <c r="C3" s="94"/>
      <c r="D3" s="95"/>
      <c r="E3" s="95"/>
      <c r="F3" s="95"/>
      <c r="G3" s="95"/>
      <c r="I3" s="96"/>
    </row>
    <row r="4" spans="1:235" ht="15.75" x14ac:dyDescent="0.25">
      <c r="A4" s="98" t="s">
        <v>197</v>
      </c>
      <c r="B4" s="98"/>
      <c r="C4" s="94"/>
      <c r="D4" s="95"/>
      <c r="E4" s="95"/>
      <c r="F4" s="95"/>
      <c r="G4" s="95"/>
      <c r="H4" s="92"/>
      <c r="I4" s="96"/>
    </row>
    <row r="5" spans="1:235" s="15" customFormat="1" ht="51.75" customHeight="1" x14ac:dyDescent="0.25">
      <c r="A5" s="424" t="s">
        <v>11</v>
      </c>
      <c r="B5" s="470" t="s">
        <v>165</v>
      </c>
      <c r="C5" s="471" t="s">
        <v>241</v>
      </c>
      <c r="D5" s="425" t="s">
        <v>48</v>
      </c>
      <c r="E5" s="425" t="s">
        <v>49</v>
      </c>
      <c r="F5" s="425" t="s">
        <v>50</v>
      </c>
      <c r="G5" s="425" t="s">
        <v>51</v>
      </c>
      <c r="H5" s="425" t="s">
        <v>52</v>
      </c>
      <c r="I5" s="425" t="s">
        <v>62</v>
      </c>
      <c r="J5" s="425" t="s">
        <v>63</v>
      </c>
      <c r="K5" s="425" t="s">
        <v>64</v>
      </c>
      <c r="L5" s="425" t="s">
        <v>65</v>
      </c>
      <c r="M5" s="425" t="s">
        <v>66</v>
      </c>
      <c r="N5" s="425" t="s">
        <v>67</v>
      </c>
      <c r="O5" s="425" t="s">
        <v>76</v>
      </c>
      <c r="P5" s="425" t="s">
        <v>77</v>
      </c>
      <c r="Q5" s="425" t="s">
        <v>78</v>
      </c>
      <c r="R5" s="425" t="s">
        <v>79</v>
      </c>
      <c r="S5" s="425" t="s">
        <v>68</v>
      </c>
      <c r="T5" s="425" t="s">
        <v>83</v>
      </c>
      <c r="U5" s="425" t="s">
        <v>145</v>
      </c>
      <c r="V5" s="425" t="s">
        <v>163</v>
      </c>
      <c r="W5" s="425" t="s">
        <v>201</v>
      </c>
      <c r="X5" s="425" t="s">
        <v>228</v>
      </c>
      <c r="Y5" s="469" t="s">
        <v>232</v>
      </c>
    </row>
    <row r="6" spans="1:235" s="15" customFormat="1" ht="17.100000000000001" customHeight="1" x14ac:dyDescent="0.25">
      <c r="A6" s="281">
        <v>2015</v>
      </c>
      <c r="B6" s="282">
        <f>SUM(Table5_Suicides_Year_of_Registration_and_Year_of_Occurrence[[#This Row],[Prior to 2004]:[2021]])</f>
        <v>220</v>
      </c>
      <c r="C6" s="426">
        <v>0</v>
      </c>
      <c r="D6" s="421">
        <v>0</v>
      </c>
      <c r="E6" s="421">
        <v>0</v>
      </c>
      <c r="F6" s="421">
        <v>0</v>
      </c>
      <c r="G6" s="421">
        <v>1</v>
      </c>
      <c r="H6" s="421">
        <v>0</v>
      </c>
      <c r="I6" s="421">
        <v>0</v>
      </c>
      <c r="J6" s="421">
        <v>0</v>
      </c>
      <c r="K6" s="421">
        <v>4</v>
      </c>
      <c r="L6" s="421">
        <v>10</v>
      </c>
      <c r="M6" s="60">
        <v>6</v>
      </c>
      <c r="N6" s="60">
        <v>89</v>
      </c>
      <c r="O6" s="60">
        <v>110</v>
      </c>
      <c r="P6" s="468" t="s">
        <v>14</v>
      </c>
      <c r="Q6" s="468" t="s">
        <v>14</v>
      </c>
      <c r="R6" s="468" t="s">
        <v>14</v>
      </c>
      <c r="S6" s="468" t="s">
        <v>14</v>
      </c>
      <c r="T6" s="468" t="s">
        <v>14</v>
      </c>
      <c r="U6" s="468" t="s">
        <v>14</v>
      </c>
      <c r="V6" s="468" t="s">
        <v>14</v>
      </c>
      <c r="W6" s="468" t="s">
        <v>14</v>
      </c>
      <c r="X6" s="468" t="s">
        <v>14</v>
      </c>
      <c r="Y6" s="428">
        <v>149</v>
      </c>
      <c r="Z6" s="220"/>
    </row>
    <row r="7" spans="1:235" s="15" customFormat="1" ht="17.100000000000001" customHeight="1" x14ac:dyDescent="0.25">
      <c r="A7" s="281">
        <v>2016</v>
      </c>
      <c r="B7" s="282">
        <f>SUM(Table5_Suicides_Year_of_Registration_and_Year_of_Occurrence[[#This Row],[Prior to 2004]:[2021]])</f>
        <v>195</v>
      </c>
      <c r="C7" s="426">
        <v>0</v>
      </c>
      <c r="D7" s="421">
        <v>0</v>
      </c>
      <c r="E7" s="421">
        <v>0</v>
      </c>
      <c r="F7" s="421">
        <v>0</v>
      </c>
      <c r="G7" s="421">
        <v>0</v>
      </c>
      <c r="H7" s="421">
        <v>0</v>
      </c>
      <c r="I7" s="421">
        <v>0</v>
      </c>
      <c r="J7" s="421">
        <v>0</v>
      </c>
      <c r="K7" s="421">
        <v>2</v>
      </c>
      <c r="L7" s="421">
        <v>0</v>
      </c>
      <c r="M7" s="60">
        <v>5</v>
      </c>
      <c r="N7" s="60">
        <v>3</v>
      </c>
      <c r="O7" s="60">
        <v>74</v>
      </c>
      <c r="P7" s="60">
        <v>111</v>
      </c>
      <c r="Q7" s="468" t="s">
        <v>14</v>
      </c>
      <c r="R7" s="468" t="s">
        <v>14</v>
      </c>
      <c r="S7" s="468" t="s">
        <v>14</v>
      </c>
      <c r="T7" s="468" t="s">
        <v>14</v>
      </c>
      <c r="U7" s="468" t="s">
        <v>14</v>
      </c>
      <c r="V7" s="468" t="s">
        <v>14</v>
      </c>
      <c r="W7" s="468" t="s">
        <v>14</v>
      </c>
      <c r="X7" s="468" t="s">
        <v>14</v>
      </c>
      <c r="Y7" s="428">
        <v>129</v>
      </c>
      <c r="Z7" s="220"/>
    </row>
    <row r="8" spans="1:235" s="15" customFormat="1" ht="17.100000000000001" customHeight="1" x14ac:dyDescent="0.25">
      <c r="A8" s="281">
        <v>2017</v>
      </c>
      <c r="B8" s="282">
        <f>SUM(Table5_Suicides_Year_of_Registration_and_Year_of_Occurrence[[#This Row],[Prior to 2004]:[2021]])</f>
        <v>199</v>
      </c>
      <c r="C8" s="426">
        <v>0</v>
      </c>
      <c r="D8" s="421">
        <v>0</v>
      </c>
      <c r="E8" s="421">
        <v>0</v>
      </c>
      <c r="F8" s="421">
        <v>0</v>
      </c>
      <c r="G8" s="421">
        <v>0</v>
      </c>
      <c r="H8" s="421">
        <v>0</v>
      </c>
      <c r="I8" s="421">
        <v>0</v>
      </c>
      <c r="J8" s="421">
        <v>0</v>
      </c>
      <c r="K8" s="421">
        <v>0</v>
      </c>
      <c r="L8" s="421">
        <v>4</v>
      </c>
      <c r="M8" s="60">
        <v>2</v>
      </c>
      <c r="N8" s="60">
        <v>1</v>
      </c>
      <c r="O8" s="60">
        <v>5</v>
      </c>
      <c r="P8" s="60">
        <v>84</v>
      </c>
      <c r="Q8" s="60">
        <v>103</v>
      </c>
      <c r="R8" s="468" t="s">
        <v>14</v>
      </c>
      <c r="S8" s="468" t="s">
        <v>14</v>
      </c>
      <c r="T8" s="468" t="s">
        <v>14</v>
      </c>
      <c r="U8" s="468" t="s">
        <v>14</v>
      </c>
      <c r="V8" s="468" t="s">
        <v>14</v>
      </c>
      <c r="W8" s="468" t="s">
        <v>14</v>
      </c>
      <c r="X8" s="468" t="s">
        <v>14</v>
      </c>
      <c r="Y8" s="428">
        <v>122</v>
      </c>
      <c r="Z8" s="220"/>
    </row>
    <row r="9" spans="1:235" s="19" customFormat="1" ht="19.350000000000001" customHeight="1" x14ac:dyDescent="0.25">
      <c r="A9" s="281">
        <v>2018</v>
      </c>
      <c r="B9" s="282">
        <f>SUM(Table5_Suicides_Year_of_Registration_and_Year_of_Occurrence[[#This Row],[Prior to 2004]:[2021]])</f>
        <v>236</v>
      </c>
      <c r="C9" s="426">
        <v>0</v>
      </c>
      <c r="D9" s="421">
        <v>1</v>
      </c>
      <c r="E9" s="421">
        <v>0</v>
      </c>
      <c r="F9" s="421">
        <v>0</v>
      </c>
      <c r="G9" s="421">
        <v>0</v>
      </c>
      <c r="H9" s="421">
        <v>0</v>
      </c>
      <c r="I9" s="421">
        <v>0</v>
      </c>
      <c r="J9" s="421">
        <v>0</v>
      </c>
      <c r="K9" s="421">
        <v>0</v>
      </c>
      <c r="L9" s="421">
        <v>0</v>
      </c>
      <c r="M9" s="60">
        <v>1</v>
      </c>
      <c r="N9" s="60">
        <v>1</v>
      </c>
      <c r="O9" s="60">
        <v>2</v>
      </c>
      <c r="P9" s="60">
        <v>11</v>
      </c>
      <c r="Q9" s="60">
        <v>80</v>
      </c>
      <c r="R9" s="60">
        <v>140</v>
      </c>
      <c r="S9" s="468" t="s">
        <v>14</v>
      </c>
      <c r="T9" s="468" t="s">
        <v>14</v>
      </c>
      <c r="U9" s="468" t="s">
        <v>14</v>
      </c>
      <c r="V9" s="468" t="s">
        <v>14</v>
      </c>
      <c r="W9" s="468" t="s">
        <v>14</v>
      </c>
      <c r="X9" s="468" t="s">
        <v>14</v>
      </c>
      <c r="Y9" s="428">
        <v>151</v>
      </c>
      <c r="Z9" s="220"/>
    </row>
    <row r="10" spans="1:235" s="19" customFormat="1" ht="19.350000000000001" customHeight="1" x14ac:dyDescent="0.25">
      <c r="A10" s="281">
        <v>2019</v>
      </c>
      <c r="B10" s="282">
        <f>SUM(Table5_Suicides_Year_of_Registration_and_Year_of_Occurrence[[#This Row],[Prior to 2004]:[2021]])</f>
        <v>205</v>
      </c>
      <c r="C10" s="426">
        <v>0</v>
      </c>
      <c r="D10" s="421">
        <v>0</v>
      </c>
      <c r="E10" s="421">
        <v>0</v>
      </c>
      <c r="F10" s="421">
        <v>0</v>
      </c>
      <c r="G10" s="421">
        <v>1</v>
      </c>
      <c r="H10" s="421">
        <v>0</v>
      </c>
      <c r="I10" s="421">
        <v>0</v>
      </c>
      <c r="J10" s="421">
        <v>0</v>
      </c>
      <c r="K10" s="421">
        <v>0</v>
      </c>
      <c r="L10" s="421">
        <v>1</v>
      </c>
      <c r="M10" s="60">
        <v>2</v>
      </c>
      <c r="N10" s="60">
        <v>0</v>
      </c>
      <c r="O10" s="60">
        <v>1</v>
      </c>
      <c r="P10" s="60">
        <v>13</v>
      </c>
      <c r="Q10" s="60">
        <v>8</v>
      </c>
      <c r="R10" s="60">
        <v>80</v>
      </c>
      <c r="S10" s="60">
        <v>99</v>
      </c>
      <c r="T10" s="468" t="s">
        <v>14</v>
      </c>
      <c r="U10" s="468" t="s">
        <v>14</v>
      </c>
      <c r="V10" s="468" t="s">
        <v>14</v>
      </c>
      <c r="W10" s="468" t="s">
        <v>14</v>
      </c>
      <c r="X10" s="468" t="s">
        <v>14</v>
      </c>
      <c r="Y10" s="429">
        <v>154</v>
      </c>
      <c r="Z10" s="220"/>
    </row>
    <row r="11" spans="1:235" s="19" customFormat="1" ht="19.350000000000001" customHeight="1" x14ac:dyDescent="0.25">
      <c r="A11" s="281">
        <v>2020</v>
      </c>
      <c r="B11" s="282">
        <f>SUM(Table5_Suicides_Year_of_Registration_and_Year_of_Occurrence[[#This Row],[Prior to 2004]:[2021]])</f>
        <v>219</v>
      </c>
      <c r="C11" s="426">
        <v>0</v>
      </c>
      <c r="D11" s="421">
        <v>0</v>
      </c>
      <c r="E11" s="421">
        <v>0</v>
      </c>
      <c r="F11" s="421">
        <v>0</v>
      </c>
      <c r="G11" s="421">
        <v>0</v>
      </c>
      <c r="H11" s="421">
        <v>0</v>
      </c>
      <c r="I11" s="421">
        <v>1</v>
      </c>
      <c r="J11" s="421">
        <v>0</v>
      </c>
      <c r="K11" s="421">
        <v>0</v>
      </c>
      <c r="L11" s="421">
        <v>0</v>
      </c>
      <c r="M11" s="60">
        <v>1</v>
      </c>
      <c r="N11" s="60">
        <v>0</v>
      </c>
      <c r="O11" s="60">
        <v>1</v>
      </c>
      <c r="P11" s="60">
        <v>1</v>
      </c>
      <c r="Q11" s="60">
        <v>1</v>
      </c>
      <c r="R11" s="60">
        <v>10</v>
      </c>
      <c r="S11" s="60">
        <v>103</v>
      </c>
      <c r="T11" s="60">
        <v>101</v>
      </c>
      <c r="U11" s="468" t="s">
        <v>14</v>
      </c>
      <c r="V11" s="468" t="s">
        <v>14</v>
      </c>
      <c r="W11" s="468" t="s">
        <v>14</v>
      </c>
      <c r="X11" s="468" t="s">
        <v>14</v>
      </c>
      <c r="Y11" s="429">
        <v>174</v>
      </c>
      <c r="Z11" s="220"/>
    </row>
    <row r="12" spans="1:235" s="19" customFormat="1" ht="17.850000000000001" customHeight="1" x14ac:dyDescent="0.25">
      <c r="A12" s="281">
        <v>2021</v>
      </c>
      <c r="B12" s="282">
        <f>SUM(Table5_Suicides_Year_of_Registration_and_Year_of_Occurrence[[#This Row],[Prior to 2004]:[2021]])</f>
        <v>237</v>
      </c>
      <c r="C12" s="426">
        <v>0</v>
      </c>
      <c r="D12" s="422">
        <v>0</v>
      </c>
      <c r="E12" s="422">
        <v>0</v>
      </c>
      <c r="F12" s="422">
        <v>0</v>
      </c>
      <c r="G12" s="422">
        <v>0</v>
      </c>
      <c r="H12" s="422">
        <v>0</v>
      </c>
      <c r="I12" s="422">
        <v>0</v>
      </c>
      <c r="J12" s="422">
        <v>0</v>
      </c>
      <c r="K12" s="422">
        <v>0</v>
      </c>
      <c r="L12" s="422">
        <v>0</v>
      </c>
      <c r="M12" s="423">
        <v>2</v>
      </c>
      <c r="N12" s="423">
        <v>1</v>
      </c>
      <c r="O12" s="423">
        <v>1</v>
      </c>
      <c r="P12" s="60">
        <v>0</v>
      </c>
      <c r="Q12" s="60">
        <v>2</v>
      </c>
      <c r="R12" s="60">
        <v>6</v>
      </c>
      <c r="S12" s="60">
        <v>24</v>
      </c>
      <c r="T12" s="60">
        <v>109</v>
      </c>
      <c r="U12" s="60">
        <v>92</v>
      </c>
      <c r="V12" s="468" t="s">
        <v>14</v>
      </c>
      <c r="W12" s="468" t="s">
        <v>14</v>
      </c>
      <c r="X12" s="468" t="s">
        <v>14</v>
      </c>
      <c r="Y12" s="430">
        <v>166</v>
      </c>
      <c r="Z12" s="220"/>
    </row>
    <row r="13" spans="1:235" s="28" customFormat="1" ht="15.75" x14ac:dyDescent="0.25">
      <c r="A13" s="281">
        <v>2022</v>
      </c>
      <c r="B13" s="282">
        <f>SUM(Table5_Suicides_Year_of_Registration_and_Year_of_Occurrence[[#This Row],[Prior to 2004]:[2023]])</f>
        <v>203</v>
      </c>
      <c r="C13" s="426">
        <v>0</v>
      </c>
      <c r="D13" s="421">
        <v>0</v>
      </c>
      <c r="E13" s="421">
        <v>0</v>
      </c>
      <c r="F13" s="421">
        <v>0</v>
      </c>
      <c r="G13" s="421">
        <v>0</v>
      </c>
      <c r="H13" s="421">
        <v>0</v>
      </c>
      <c r="I13" s="421">
        <v>0</v>
      </c>
      <c r="J13" s="421">
        <v>0</v>
      </c>
      <c r="K13" s="421">
        <v>0</v>
      </c>
      <c r="L13" s="421">
        <v>0</v>
      </c>
      <c r="M13" s="421">
        <v>0</v>
      </c>
      <c r="N13" s="421">
        <v>0</v>
      </c>
      <c r="O13" s="60">
        <v>1</v>
      </c>
      <c r="P13" s="60">
        <v>2</v>
      </c>
      <c r="Q13" s="60">
        <v>0</v>
      </c>
      <c r="R13" s="60">
        <v>4</v>
      </c>
      <c r="S13" s="60">
        <v>4</v>
      </c>
      <c r="T13" s="60">
        <v>8</v>
      </c>
      <c r="U13" s="60">
        <v>113</v>
      </c>
      <c r="V13" s="60">
        <v>71</v>
      </c>
      <c r="W13" s="468" t="s">
        <v>14</v>
      </c>
      <c r="X13" s="468" t="s">
        <v>14</v>
      </c>
      <c r="Y13" s="429">
        <v>219</v>
      </c>
      <c r="Z13" s="220"/>
    </row>
    <row r="14" spans="1:235" s="28" customFormat="1" ht="15.75" x14ac:dyDescent="0.25">
      <c r="A14" s="281">
        <v>2023</v>
      </c>
      <c r="B14" s="282">
        <f>SUM(Table5_Suicides_Year_of_Registration_and_Year_of_Occurrence[[#This Row],[Prior to 2004]:[2023]])</f>
        <v>221</v>
      </c>
      <c r="C14" s="426">
        <v>0</v>
      </c>
      <c r="D14" s="421">
        <v>0</v>
      </c>
      <c r="E14" s="421">
        <v>0</v>
      </c>
      <c r="F14" s="421">
        <v>0</v>
      </c>
      <c r="G14" s="421">
        <v>0</v>
      </c>
      <c r="H14" s="421">
        <v>1</v>
      </c>
      <c r="I14" s="421">
        <v>0</v>
      </c>
      <c r="J14" s="421">
        <v>0</v>
      </c>
      <c r="K14" s="421">
        <v>0</v>
      </c>
      <c r="L14" s="421">
        <v>0</v>
      </c>
      <c r="M14" s="421">
        <v>0</v>
      </c>
      <c r="N14" s="421">
        <v>0</v>
      </c>
      <c r="O14" s="60">
        <v>0</v>
      </c>
      <c r="P14" s="60">
        <v>3</v>
      </c>
      <c r="Q14" s="60">
        <v>2</v>
      </c>
      <c r="R14" s="60">
        <v>2</v>
      </c>
      <c r="S14" s="60">
        <v>1</v>
      </c>
      <c r="T14" s="60">
        <v>3</v>
      </c>
      <c r="U14" s="60">
        <v>15</v>
      </c>
      <c r="V14" s="60">
        <v>127</v>
      </c>
      <c r="W14" s="60">
        <v>67</v>
      </c>
      <c r="X14" s="468" t="s">
        <v>14</v>
      </c>
      <c r="Y14" s="429">
        <v>276</v>
      </c>
      <c r="Z14" s="220"/>
    </row>
    <row r="15" spans="1:235" s="28" customFormat="1" ht="16.5" thickBot="1" x14ac:dyDescent="0.3">
      <c r="A15" s="281">
        <v>2024</v>
      </c>
      <c r="B15" s="283">
        <v>290</v>
      </c>
      <c r="C15" s="427">
        <v>0</v>
      </c>
      <c r="D15" s="131">
        <v>0</v>
      </c>
      <c r="E15" s="131">
        <v>0</v>
      </c>
      <c r="F15" s="131">
        <v>0</v>
      </c>
      <c r="G15" s="131">
        <v>0</v>
      </c>
      <c r="H15" s="131">
        <v>0</v>
      </c>
      <c r="I15" s="131">
        <v>0</v>
      </c>
      <c r="J15" s="131">
        <v>0</v>
      </c>
      <c r="K15" s="131">
        <v>0</v>
      </c>
      <c r="L15" s="131">
        <v>0</v>
      </c>
      <c r="M15" s="131">
        <v>0</v>
      </c>
      <c r="N15" s="131">
        <v>0</v>
      </c>
      <c r="O15" s="243">
        <v>0</v>
      </c>
      <c r="P15" s="243">
        <v>0</v>
      </c>
      <c r="Q15" s="243">
        <v>0</v>
      </c>
      <c r="R15" s="243">
        <v>3</v>
      </c>
      <c r="S15" s="243">
        <v>3</v>
      </c>
      <c r="T15" s="243">
        <v>2</v>
      </c>
      <c r="U15" s="243">
        <v>6</v>
      </c>
      <c r="V15" s="243">
        <v>29</v>
      </c>
      <c r="W15" s="243">
        <v>160</v>
      </c>
      <c r="X15" s="243">
        <v>87</v>
      </c>
      <c r="Y15" s="429">
        <v>254</v>
      </c>
      <c r="Z15" s="220"/>
    </row>
  </sheetData>
  <phoneticPr fontId="53" type="noConversion"/>
  <hyperlinks>
    <hyperlink ref="A4" location="'Table List'!A1" display="Table list" xr:uid="{342C3FAF-128E-40C0-8D0E-87A5E7CA8C1D}"/>
    <hyperlink ref="A3" location="Notes!A1" display="Notes" xr:uid="{70385823-4945-4A22-91B2-A635E327F3F8}"/>
  </hyperlinks>
  <pageMargins left="0.17" right="0.17" top="0.78" bottom="0.62" header="0.51181102362204722" footer="0.51181102362204722"/>
  <pageSetup paperSize="9" orientation="landscape" r:id="rId1"/>
  <headerFooter alignWithMargins="0"/>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79998168889431442"/>
  </sheetPr>
  <dimension ref="A1:L20"/>
  <sheetViews>
    <sheetView showGridLines="0" zoomScaleNormal="100" workbookViewId="0"/>
  </sheetViews>
  <sheetFormatPr defaultColWidth="9.42578125" defaultRowHeight="12.75" x14ac:dyDescent="0.2"/>
  <cols>
    <col min="1" max="1" width="34.42578125" customWidth="1"/>
    <col min="2" max="11" width="7" customWidth="1"/>
  </cols>
  <sheetData>
    <row r="1" spans="1:12" ht="21" customHeight="1" x14ac:dyDescent="0.3">
      <c r="A1" s="12" t="s">
        <v>278</v>
      </c>
      <c r="B1" s="12"/>
      <c r="C1" s="12"/>
      <c r="D1" s="12"/>
      <c r="E1" s="12"/>
      <c r="F1" s="12"/>
      <c r="G1" s="12"/>
      <c r="H1" s="12"/>
      <c r="I1" s="12"/>
      <c r="J1" s="12"/>
      <c r="K1" s="12"/>
      <c r="L1" s="12"/>
    </row>
    <row r="2" spans="1:12" ht="15.75" x14ac:dyDescent="0.25">
      <c r="A2" s="97" t="s">
        <v>196</v>
      </c>
      <c r="B2" s="95"/>
      <c r="C2" s="95"/>
      <c r="D2" s="95"/>
      <c r="E2" s="95"/>
      <c r="G2" s="96"/>
    </row>
    <row r="3" spans="1:12" ht="16.5" thickBot="1" x14ac:dyDescent="0.3">
      <c r="A3" s="98" t="s">
        <v>197</v>
      </c>
      <c r="B3" s="95"/>
      <c r="C3" s="95"/>
      <c r="D3" s="95"/>
      <c r="E3" s="95"/>
      <c r="F3" s="92"/>
      <c r="G3" s="96"/>
    </row>
    <row r="4" spans="1:12" s="18" customFormat="1" ht="16.5" thickBot="1" x14ac:dyDescent="0.25">
      <c r="A4" s="155" t="s">
        <v>17</v>
      </c>
      <c r="B4" s="261" t="s">
        <v>76</v>
      </c>
      <c r="C4" s="157" t="s">
        <v>77</v>
      </c>
      <c r="D4" s="157" t="s">
        <v>78</v>
      </c>
      <c r="E4" s="157" t="s">
        <v>79</v>
      </c>
      <c r="F4" s="158" t="s">
        <v>68</v>
      </c>
      <c r="G4" s="158" t="s">
        <v>83</v>
      </c>
      <c r="H4" s="158" t="s">
        <v>145</v>
      </c>
      <c r="I4" s="158" t="s">
        <v>163</v>
      </c>
      <c r="J4" s="158" t="s">
        <v>201</v>
      </c>
      <c r="K4" s="159" t="s">
        <v>228</v>
      </c>
    </row>
    <row r="5" spans="1:12" s="19" customFormat="1" ht="15.75" x14ac:dyDescent="0.2">
      <c r="A5" s="137" t="s">
        <v>18</v>
      </c>
      <c r="B5" s="262">
        <v>13</v>
      </c>
      <c r="C5" s="62">
        <v>21</v>
      </c>
      <c r="D5" s="62">
        <v>8</v>
      </c>
      <c r="E5" s="62">
        <v>20</v>
      </c>
      <c r="F5" s="62">
        <v>11</v>
      </c>
      <c r="G5" s="62">
        <v>12</v>
      </c>
      <c r="H5" s="62">
        <v>11</v>
      </c>
      <c r="I5" s="62">
        <v>14</v>
      </c>
      <c r="J5" s="62">
        <v>16</v>
      </c>
      <c r="K5" s="62">
        <v>22</v>
      </c>
    </row>
    <row r="6" spans="1:12" s="19" customFormat="1" ht="15.75" x14ac:dyDescent="0.2">
      <c r="A6" s="137" t="s">
        <v>19</v>
      </c>
      <c r="B6" s="262">
        <v>29</v>
      </c>
      <c r="C6" s="62">
        <v>15</v>
      </c>
      <c r="D6" s="62">
        <v>11</v>
      </c>
      <c r="E6" s="62">
        <v>14</v>
      </c>
      <c r="F6" s="62">
        <v>20</v>
      </c>
      <c r="G6" s="62">
        <v>29</v>
      </c>
      <c r="H6" s="62">
        <v>27</v>
      </c>
      <c r="I6" s="62">
        <v>25</v>
      </c>
      <c r="J6" s="62">
        <v>21</v>
      </c>
      <c r="K6" s="62">
        <v>39</v>
      </c>
    </row>
    <row r="7" spans="1:12" s="19" customFormat="1" ht="15.75" x14ac:dyDescent="0.2">
      <c r="A7" s="137" t="s">
        <v>15</v>
      </c>
      <c r="B7" s="262">
        <v>61</v>
      </c>
      <c r="C7" s="62">
        <v>43</v>
      </c>
      <c r="D7" s="62">
        <v>50</v>
      </c>
      <c r="E7" s="62">
        <v>64</v>
      </c>
      <c r="F7" s="62">
        <v>54</v>
      </c>
      <c r="G7" s="62">
        <v>62</v>
      </c>
      <c r="H7" s="62">
        <v>63</v>
      </c>
      <c r="I7" s="62">
        <v>53</v>
      </c>
      <c r="J7" s="62">
        <v>49</v>
      </c>
      <c r="K7" s="62">
        <v>55</v>
      </c>
    </row>
    <row r="8" spans="1:12" s="19" customFormat="1" ht="15.75" x14ac:dyDescent="0.2">
      <c r="A8" s="137" t="s">
        <v>20</v>
      </c>
      <c r="B8" s="262">
        <v>9</v>
      </c>
      <c r="C8" s="62">
        <v>11</v>
      </c>
      <c r="D8" s="62">
        <v>15</v>
      </c>
      <c r="E8" s="62">
        <v>19</v>
      </c>
      <c r="F8" s="62">
        <v>9</v>
      </c>
      <c r="G8" s="62">
        <v>12</v>
      </c>
      <c r="H8" s="62">
        <v>14</v>
      </c>
      <c r="I8" s="62">
        <v>13</v>
      </c>
      <c r="J8" s="62">
        <v>12</v>
      </c>
      <c r="K8" s="62">
        <v>25</v>
      </c>
    </row>
    <row r="9" spans="1:12" s="19" customFormat="1" ht="15.75" x14ac:dyDescent="0.2">
      <c r="A9" s="137" t="s">
        <v>21</v>
      </c>
      <c r="B9" s="262">
        <v>15</v>
      </c>
      <c r="C9" s="62">
        <v>14</v>
      </c>
      <c r="D9" s="62">
        <v>16</v>
      </c>
      <c r="E9" s="62">
        <v>18</v>
      </c>
      <c r="F9" s="62">
        <v>21</v>
      </c>
      <c r="G9" s="62">
        <v>12</v>
      </c>
      <c r="H9" s="62">
        <v>23</v>
      </c>
      <c r="I9" s="62">
        <v>13</v>
      </c>
      <c r="J9" s="62">
        <v>21</v>
      </c>
      <c r="K9" s="62">
        <v>22</v>
      </c>
    </row>
    <row r="10" spans="1:12" s="19" customFormat="1" ht="15.75" x14ac:dyDescent="0.2">
      <c r="A10" s="137" t="s">
        <v>22</v>
      </c>
      <c r="B10" s="262">
        <v>17</v>
      </c>
      <c r="C10" s="62">
        <v>12</v>
      </c>
      <c r="D10" s="62">
        <v>17</v>
      </c>
      <c r="E10" s="62">
        <v>21</v>
      </c>
      <c r="F10" s="62">
        <v>11</v>
      </c>
      <c r="G10" s="62">
        <v>18</v>
      </c>
      <c r="H10" s="62">
        <v>14</v>
      </c>
      <c r="I10" s="62">
        <v>17</v>
      </c>
      <c r="J10" s="62">
        <v>14</v>
      </c>
      <c r="K10" s="62">
        <v>21</v>
      </c>
    </row>
    <row r="11" spans="1:12" s="19" customFormat="1" ht="15.75" x14ac:dyDescent="0.2">
      <c r="A11" s="137" t="s">
        <v>23</v>
      </c>
      <c r="B11" s="262">
        <v>15</v>
      </c>
      <c r="C11" s="62">
        <v>13</v>
      </c>
      <c r="D11" s="62">
        <v>15</v>
      </c>
      <c r="E11" s="62">
        <v>21</v>
      </c>
      <c r="F11" s="62">
        <v>21</v>
      </c>
      <c r="G11" s="62">
        <v>15</v>
      </c>
      <c r="H11" s="62">
        <v>10</v>
      </c>
      <c r="I11" s="62">
        <v>14</v>
      </c>
      <c r="J11" s="62">
        <v>18</v>
      </c>
      <c r="K11" s="62">
        <v>17</v>
      </c>
    </row>
    <row r="12" spans="1:12" s="19" customFormat="1" ht="15.75" x14ac:dyDescent="0.2">
      <c r="A12" s="137" t="s">
        <v>24</v>
      </c>
      <c r="B12" s="262">
        <v>16</v>
      </c>
      <c r="C12" s="62">
        <v>21</v>
      </c>
      <c r="D12" s="62">
        <v>14</v>
      </c>
      <c r="E12" s="62">
        <v>13</v>
      </c>
      <c r="F12" s="62">
        <v>17</v>
      </c>
      <c r="G12" s="62">
        <v>12</v>
      </c>
      <c r="H12" s="62">
        <v>13</v>
      </c>
      <c r="I12" s="62">
        <v>10</v>
      </c>
      <c r="J12" s="62">
        <v>17</v>
      </c>
      <c r="K12" s="62">
        <v>15</v>
      </c>
    </row>
    <row r="13" spans="1:12" s="19" customFormat="1" ht="15.75" x14ac:dyDescent="0.2">
      <c r="A13" s="137" t="s">
        <v>25</v>
      </c>
      <c r="B13" s="262">
        <v>12</v>
      </c>
      <c r="C13" s="62">
        <v>13</v>
      </c>
      <c r="D13" s="62">
        <v>13</v>
      </c>
      <c r="E13" s="62">
        <v>13</v>
      </c>
      <c r="F13" s="62">
        <v>18</v>
      </c>
      <c r="G13" s="62">
        <v>10</v>
      </c>
      <c r="H13" s="62">
        <v>13</v>
      </c>
      <c r="I13" s="62">
        <v>15</v>
      </c>
      <c r="J13" s="62">
        <v>20</v>
      </c>
      <c r="K13" s="62">
        <v>21</v>
      </c>
    </row>
    <row r="14" spans="1:12" s="19" customFormat="1" ht="15.75" x14ac:dyDescent="0.2">
      <c r="A14" s="137" t="s">
        <v>26</v>
      </c>
      <c r="B14" s="262">
        <v>22</v>
      </c>
      <c r="C14" s="62">
        <v>15</v>
      </c>
      <c r="D14" s="62">
        <v>23</v>
      </c>
      <c r="E14" s="62">
        <v>20</v>
      </c>
      <c r="F14" s="62">
        <v>13</v>
      </c>
      <c r="G14" s="62">
        <v>24</v>
      </c>
      <c r="H14" s="62">
        <v>27</v>
      </c>
      <c r="I14" s="62">
        <v>17</v>
      </c>
      <c r="J14" s="62">
        <v>19</v>
      </c>
      <c r="K14" s="62">
        <v>29</v>
      </c>
    </row>
    <row r="15" spans="1:12" s="19" customFormat="1" ht="15.75" x14ac:dyDescent="0.2">
      <c r="A15" s="320" t="s">
        <v>27</v>
      </c>
      <c r="B15" s="321">
        <v>11</v>
      </c>
      <c r="C15" s="322">
        <v>17</v>
      </c>
      <c r="D15" s="322">
        <v>17</v>
      </c>
      <c r="E15" s="322">
        <v>13</v>
      </c>
      <c r="F15" s="322">
        <v>10</v>
      </c>
      <c r="G15" s="322">
        <v>13</v>
      </c>
      <c r="H15" s="322">
        <v>22</v>
      </c>
      <c r="I15" s="322">
        <v>12</v>
      </c>
      <c r="J15" s="322">
        <v>14</v>
      </c>
      <c r="K15" s="322">
        <v>24</v>
      </c>
    </row>
    <row r="16" spans="1:12" s="19" customFormat="1" ht="15.75" x14ac:dyDescent="0.2">
      <c r="A16" s="138" t="s">
        <v>28</v>
      </c>
      <c r="B16" s="263">
        <v>220</v>
      </c>
      <c r="C16" s="63">
        <v>195</v>
      </c>
      <c r="D16" s="63">
        <v>199</v>
      </c>
      <c r="E16" s="63">
        <v>236</v>
      </c>
      <c r="F16" s="63">
        <v>205</v>
      </c>
      <c r="G16" s="63">
        <v>219</v>
      </c>
      <c r="H16" s="63">
        <v>237</v>
      </c>
      <c r="I16" s="63">
        <v>203</v>
      </c>
      <c r="J16" s="63">
        <v>221</v>
      </c>
      <c r="K16" s="63">
        <v>290</v>
      </c>
    </row>
    <row r="17" spans="1:1" s="15" customFormat="1" ht="15.75" x14ac:dyDescent="0.25">
      <c r="A17" s="26"/>
    </row>
    <row r="18" spans="1:1" ht="8.25" customHeight="1" x14ac:dyDescent="0.2"/>
    <row r="20" spans="1:1" ht="8.25" customHeight="1" x14ac:dyDescent="0.2"/>
  </sheetData>
  <phoneticPr fontId="53" type="noConversion"/>
  <hyperlinks>
    <hyperlink ref="A3" location="'Table List'!A1" display="Table list" xr:uid="{4163E0EE-8822-4C51-B475-C8C6103C345A}"/>
    <hyperlink ref="A2" location="Notes!A1" display="Notes" xr:uid="{62F80852-5DA9-4399-980C-1DE5BBB53752}"/>
  </hyperlinks>
  <pageMargins left="0.75" right="0.75" top="1" bottom="1" header="0.5" footer="0.5"/>
  <pageSetup paperSize="9" orientation="portrait" r:id="rId1"/>
  <headerFooter alignWithMargins="0"/>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79998168889431442"/>
  </sheetPr>
  <dimension ref="A1:J39"/>
  <sheetViews>
    <sheetView showGridLines="0" workbookViewId="0">
      <pane ySplit="5" topLeftCell="A6" activePane="bottomLeft" state="frozen"/>
      <selection pane="bottomLeft"/>
    </sheetView>
  </sheetViews>
  <sheetFormatPr defaultColWidth="9.42578125" defaultRowHeight="12.75" x14ac:dyDescent="0.2"/>
  <cols>
    <col min="1" max="1" width="19.5703125" style="3" customWidth="1"/>
    <col min="2" max="2" width="10.5703125" style="1" customWidth="1"/>
    <col min="3" max="3" width="8.85546875" customWidth="1"/>
    <col min="4" max="7" width="14" style="4" customWidth="1"/>
    <col min="8" max="8" width="14" customWidth="1"/>
    <col min="9" max="10" width="6.42578125" customWidth="1"/>
    <col min="11" max="11" width="5.5703125" customWidth="1"/>
  </cols>
  <sheetData>
    <row r="1" spans="1:10" s="347" customFormat="1" ht="20.100000000000001" customHeight="1" x14ac:dyDescent="0.3">
      <c r="A1" s="12" t="s">
        <v>277</v>
      </c>
      <c r="B1" s="344"/>
      <c r="C1" s="344"/>
      <c r="D1" s="344"/>
      <c r="E1" s="344"/>
      <c r="F1" s="344"/>
      <c r="G1" s="344"/>
      <c r="H1" s="344"/>
      <c r="J1" s="346"/>
    </row>
    <row r="2" spans="1:10" ht="15.75" x14ac:dyDescent="0.25">
      <c r="A2" s="93" t="s">
        <v>195</v>
      </c>
      <c r="B2" s="94"/>
      <c r="C2" s="95"/>
      <c r="D2" s="95"/>
      <c r="E2" s="95"/>
      <c r="F2" s="95"/>
      <c r="G2" s="95"/>
    </row>
    <row r="3" spans="1:10" ht="15.75" x14ac:dyDescent="0.25">
      <c r="A3" s="97" t="s">
        <v>196</v>
      </c>
      <c r="B3" s="94"/>
      <c r="C3" s="95"/>
      <c r="D3" s="95"/>
      <c r="E3" s="95"/>
      <c r="F3" s="95"/>
      <c r="G3" s="95"/>
    </row>
    <row r="4" spans="1:10" ht="16.5" thickBot="1" x14ac:dyDescent="0.3">
      <c r="A4" s="98" t="s">
        <v>197</v>
      </c>
      <c r="B4" s="94"/>
      <c r="C4" s="95"/>
      <c r="D4" s="95"/>
      <c r="E4" s="95"/>
      <c r="F4" s="95"/>
      <c r="G4" s="95"/>
      <c r="H4" s="92"/>
    </row>
    <row r="5" spans="1:10" ht="16.5" thickBot="1" x14ac:dyDescent="0.3">
      <c r="A5" s="156" t="s">
        <v>11</v>
      </c>
      <c r="B5" s="153" t="s">
        <v>126</v>
      </c>
      <c r="C5" s="363" t="s">
        <v>16</v>
      </c>
      <c r="D5" s="363" t="s">
        <v>15</v>
      </c>
      <c r="E5" s="363" t="s">
        <v>122</v>
      </c>
      <c r="F5" s="363" t="s">
        <v>123</v>
      </c>
      <c r="G5" s="363" t="s">
        <v>124</v>
      </c>
      <c r="H5" s="364" t="s">
        <v>125</v>
      </c>
    </row>
    <row r="6" spans="1:10" ht="15.75" x14ac:dyDescent="0.25">
      <c r="A6" s="199">
        <v>2015</v>
      </c>
      <c r="B6" s="129" t="s">
        <v>121</v>
      </c>
      <c r="C6" s="125">
        <v>220</v>
      </c>
      <c r="D6" s="130">
        <v>57</v>
      </c>
      <c r="E6" s="130">
        <v>40</v>
      </c>
      <c r="F6" s="130">
        <v>41</v>
      </c>
      <c r="G6" s="130">
        <v>47</v>
      </c>
      <c r="H6" s="64">
        <v>35</v>
      </c>
    </row>
    <row r="7" spans="1:10" ht="15.75" x14ac:dyDescent="0.25">
      <c r="A7" s="472">
        <v>2015</v>
      </c>
      <c r="B7" s="133" t="s">
        <v>12</v>
      </c>
      <c r="C7" s="163">
        <v>173</v>
      </c>
      <c r="D7" s="58">
        <v>45</v>
      </c>
      <c r="E7" s="164">
        <v>30</v>
      </c>
      <c r="F7" s="58">
        <v>33</v>
      </c>
      <c r="G7" s="58">
        <v>40</v>
      </c>
      <c r="H7" s="58">
        <v>25</v>
      </c>
    </row>
    <row r="8" spans="1:10" ht="15.75" x14ac:dyDescent="0.25">
      <c r="A8" s="473">
        <v>2015</v>
      </c>
      <c r="B8" s="134" t="s">
        <v>13</v>
      </c>
      <c r="C8" s="163">
        <v>47</v>
      </c>
      <c r="D8" s="189">
        <v>12</v>
      </c>
      <c r="E8" s="166">
        <v>10</v>
      </c>
      <c r="F8" s="189">
        <v>8</v>
      </c>
      <c r="G8" s="189">
        <v>7</v>
      </c>
      <c r="H8" s="189">
        <v>10</v>
      </c>
    </row>
    <row r="9" spans="1:10" ht="15.75" x14ac:dyDescent="0.25">
      <c r="A9" s="277">
        <v>2016</v>
      </c>
      <c r="B9" s="126" t="s">
        <v>121</v>
      </c>
      <c r="C9" s="127">
        <v>195</v>
      </c>
      <c r="D9" s="59">
        <v>44</v>
      </c>
      <c r="E9" s="59">
        <v>53</v>
      </c>
      <c r="F9" s="59">
        <v>34</v>
      </c>
      <c r="G9" s="59">
        <v>33</v>
      </c>
      <c r="H9" s="77">
        <v>31</v>
      </c>
    </row>
    <row r="10" spans="1:10" ht="15.75" x14ac:dyDescent="0.25">
      <c r="A10" s="472">
        <v>2016</v>
      </c>
      <c r="B10" s="133" t="s">
        <v>12</v>
      </c>
      <c r="C10" s="163">
        <v>149</v>
      </c>
      <c r="D10" s="58">
        <v>32</v>
      </c>
      <c r="E10" s="164">
        <v>39</v>
      </c>
      <c r="F10" s="58">
        <v>25</v>
      </c>
      <c r="G10" s="58">
        <v>26</v>
      </c>
      <c r="H10" s="58">
        <v>27</v>
      </c>
    </row>
    <row r="11" spans="1:10" ht="15.75" x14ac:dyDescent="0.25">
      <c r="A11" s="473">
        <v>2016</v>
      </c>
      <c r="B11" s="134" t="s">
        <v>13</v>
      </c>
      <c r="C11" s="163">
        <v>46</v>
      </c>
      <c r="D11" s="189">
        <v>12</v>
      </c>
      <c r="E11" s="166">
        <v>14</v>
      </c>
      <c r="F11" s="189">
        <v>9</v>
      </c>
      <c r="G11" s="189">
        <v>7</v>
      </c>
      <c r="H11" s="189">
        <v>4</v>
      </c>
    </row>
    <row r="12" spans="1:10" ht="15.75" x14ac:dyDescent="0.25">
      <c r="A12" s="277">
        <v>2017</v>
      </c>
      <c r="B12" s="126" t="s">
        <v>121</v>
      </c>
      <c r="C12" s="127">
        <v>199</v>
      </c>
      <c r="D12" s="59">
        <v>48</v>
      </c>
      <c r="E12" s="59">
        <v>40</v>
      </c>
      <c r="F12" s="59">
        <v>44</v>
      </c>
      <c r="G12" s="59">
        <v>31</v>
      </c>
      <c r="H12" s="77">
        <v>36</v>
      </c>
    </row>
    <row r="13" spans="1:10" ht="15.75" x14ac:dyDescent="0.25">
      <c r="A13" s="472">
        <v>2017</v>
      </c>
      <c r="B13" s="133" t="s">
        <v>12</v>
      </c>
      <c r="C13" s="163">
        <v>151</v>
      </c>
      <c r="D13" s="58">
        <v>38</v>
      </c>
      <c r="E13" s="164">
        <v>30</v>
      </c>
      <c r="F13" s="58">
        <v>32</v>
      </c>
      <c r="G13" s="58">
        <v>23</v>
      </c>
      <c r="H13" s="58">
        <v>28</v>
      </c>
    </row>
    <row r="14" spans="1:10" ht="15.75" x14ac:dyDescent="0.25">
      <c r="A14" s="473">
        <v>2017</v>
      </c>
      <c r="B14" s="134" t="s">
        <v>13</v>
      </c>
      <c r="C14" s="163">
        <v>48</v>
      </c>
      <c r="D14" s="189">
        <v>10</v>
      </c>
      <c r="E14" s="166">
        <v>10</v>
      </c>
      <c r="F14" s="189">
        <v>12</v>
      </c>
      <c r="G14" s="189">
        <v>8</v>
      </c>
      <c r="H14" s="189">
        <v>8</v>
      </c>
    </row>
    <row r="15" spans="1:10" ht="15.75" x14ac:dyDescent="0.25">
      <c r="A15" s="277">
        <v>2018</v>
      </c>
      <c r="B15" s="126" t="s">
        <v>121</v>
      </c>
      <c r="C15" s="127">
        <v>236</v>
      </c>
      <c r="D15" s="59">
        <v>65</v>
      </c>
      <c r="E15" s="59">
        <v>55</v>
      </c>
      <c r="F15" s="59">
        <v>43</v>
      </c>
      <c r="G15" s="59">
        <v>31</v>
      </c>
      <c r="H15" s="77">
        <v>42</v>
      </c>
    </row>
    <row r="16" spans="1:10" ht="15.75" x14ac:dyDescent="0.25">
      <c r="A16" s="472">
        <v>2018</v>
      </c>
      <c r="B16" s="133" t="s">
        <v>12</v>
      </c>
      <c r="C16" s="163">
        <v>176</v>
      </c>
      <c r="D16" s="58">
        <v>47</v>
      </c>
      <c r="E16" s="164">
        <v>40</v>
      </c>
      <c r="F16" s="58">
        <v>31</v>
      </c>
      <c r="G16" s="58">
        <v>25</v>
      </c>
      <c r="H16" s="58">
        <v>33</v>
      </c>
    </row>
    <row r="17" spans="1:8" ht="15.75" x14ac:dyDescent="0.25">
      <c r="A17" s="473">
        <v>2018</v>
      </c>
      <c r="B17" s="134" t="s">
        <v>13</v>
      </c>
      <c r="C17" s="163">
        <v>60</v>
      </c>
      <c r="D17" s="189">
        <v>18</v>
      </c>
      <c r="E17" s="166">
        <v>15</v>
      </c>
      <c r="F17" s="189">
        <v>12</v>
      </c>
      <c r="G17" s="189">
        <v>6</v>
      </c>
      <c r="H17" s="189">
        <v>9</v>
      </c>
    </row>
    <row r="18" spans="1:8" ht="15.75" x14ac:dyDescent="0.25">
      <c r="A18" s="277">
        <v>2019</v>
      </c>
      <c r="B18" s="126" t="s">
        <v>121</v>
      </c>
      <c r="C18" s="127">
        <v>205</v>
      </c>
      <c r="D18" s="59">
        <v>55</v>
      </c>
      <c r="E18" s="59">
        <v>43</v>
      </c>
      <c r="F18" s="59">
        <v>38</v>
      </c>
      <c r="G18" s="59">
        <v>36</v>
      </c>
      <c r="H18" s="77">
        <v>33</v>
      </c>
    </row>
    <row r="19" spans="1:8" ht="15.75" x14ac:dyDescent="0.25">
      <c r="A19" s="472">
        <v>2019</v>
      </c>
      <c r="B19" s="133" t="s">
        <v>12</v>
      </c>
      <c r="C19" s="163">
        <v>155</v>
      </c>
      <c r="D19" s="58">
        <v>39</v>
      </c>
      <c r="E19" s="164">
        <v>23</v>
      </c>
      <c r="F19" s="58">
        <v>34</v>
      </c>
      <c r="G19" s="58">
        <v>29</v>
      </c>
      <c r="H19" s="58">
        <v>30</v>
      </c>
    </row>
    <row r="20" spans="1:8" ht="15.75" x14ac:dyDescent="0.25">
      <c r="A20" s="472">
        <v>2019</v>
      </c>
      <c r="B20" s="133" t="s">
        <v>13</v>
      </c>
      <c r="C20" s="163">
        <v>50</v>
      </c>
      <c r="D20" s="58">
        <v>16</v>
      </c>
      <c r="E20" s="164">
        <v>20</v>
      </c>
      <c r="F20" s="58">
        <v>4</v>
      </c>
      <c r="G20" s="58">
        <v>7</v>
      </c>
      <c r="H20" s="58">
        <v>3</v>
      </c>
    </row>
    <row r="21" spans="1:8" ht="15.75" x14ac:dyDescent="0.25">
      <c r="A21" s="277">
        <v>2020</v>
      </c>
      <c r="B21" s="170" t="s">
        <v>121</v>
      </c>
      <c r="C21" s="127">
        <v>219</v>
      </c>
      <c r="D21" s="167">
        <v>62</v>
      </c>
      <c r="E21" s="167">
        <v>39</v>
      </c>
      <c r="F21" s="167">
        <v>37</v>
      </c>
      <c r="G21" s="167">
        <v>47</v>
      </c>
      <c r="H21" s="190">
        <v>34</v>
      </c>
    </row>
    <row r="22" spans="1:8" ht="15.75" x14ac:dyDescent="0.25">
      <c r="A22" s="472">
        <v>2020</v>
      </c>
      <c r="B22" s="133" t="s">
        <v>12</v>
      </c>
      <c r="C22" s="163">
        <v>160</v>
      </c>
      <c r="D22" s="164">
        <v>46</v>
      </c>
      <c r="E22" s="164">
        <v>31</v>
      </c>
      <c r="F22" s="164">
        <v>23</v>
      </c>
      <c r="G22" s="164">
        <v>37</v>
      </c>
      <c r="H22" s="58">
        <v>23</v>
      </c>
    </row>
    <row r="23" spans="1:8" ht="15.75" x14ac:dyDescent="0.25">
      <c r="A23" s="473">
        <v>2020</v>
      </c>
      <c r="B23" s="134" t="s">
        <v>13</v>
      </c>
      <c r="C23" s="169">
        <v>59</v>
      </c>
      <c r="D23" s="166">
        <v>16</v>
      </c>
      <c r="E23" s="166">
        <v>8</v>
      </c>
      <c r="F23" s="166">
        <v>14</v>
      </c>
      <c r="G23" s="166">
        <v>10</v>
      </c>
      <c r="H23" s="189">
        <v>11</v>
      </c>
    </row>
    <row r="24" spans="1:8" ht="15.75" x14ac:dyDescent="0.25">
      <c r="A24" s="199">
        <v>2021</v>
      </c>
      <c r="B24" s="133" t="s">
        <v>121</v>
      </c>
      <c r="C24" s="125">
        <v>237</v>
      </c>
      <c r="D24" s="130">
        <v>58</v>
      </c>
      <c r="E24" s="83">
        <v>43</v>
      </c>
      <c r="F24" s="130">
        <v>49</v>
      </c>
      <c r="G24" s="130">
        <v>45</v>
      </c>
      <c r="H24" s="84">
        <v>42</v>
      </c>
    </row>
    <row r="25" spans="1:8" ht="15.75" x14ac:dyDescent="0.25">
      <c r="A25" s="472">
        <v>2021</v>
      </c>
      <c r="B25" s="133" t="s">
        <v>12</v>
      </c>
      <c r="C25" s="163">
        <v>176</v>
      </c>
      <c r="D25" s="165">
        <v>45</v>
      </c>
      <c r="E25" s="164">
        <v>33</v>
      </c>
      <c r="F25" s="165">
        <v>35</v>
      </c>
      <c r="G25" s="165">
        <v>38</v>
      </c>
      <c r="H25" s="58">
        <v>25</v>
      </c>
    </row>
    <row r="26" spans="1:8" ht="15.75" x14ac:dyDescent="0.25">
      <c r="A26" s="472">
        <v>2021</v>
      </c>
      <c r="B26" s="133" t="s">
        <v>13</v>
      </c>
      <c r="C26" s="163">
        <v>61</v>
      </c>
      <c r="D26" s="165">
        <v>13</v>
      </c>
      <c r="E26" s="164">
        <v>10</v>
      </c>
      <c r="F26" s="165">
        <v>14</v>
      </c>
      <c r="G26" s="165">
        <v>7</v>
      </c>
      <c r="H26" s="58">
        <v>17</v>
      </c>
    </row>
    <row r="27" spans="1:8" ht="15.75" x14ac:dyDescent="0.25">
      <c r="A27" s="277">
        <v>2022</v>
      </c>
      <c r="B27" s="126" t="s">
        <v>121</v>
      </c>
      <c r="C27" s="127">
        <v>203</v>
      </c>
      <c r="D27" s="59">
        <v>51</v>
      </c>
      <c r="E27" s="59">
        <v>40</v>
      </c>
      <c r="F27" s="59">
        <v>34</v>
      </c>
      <c r="G27" s="59">
        <v>43</v>
      </c>
      <c r="H27" s="77">
        <v>35</v>
      </c>
    </row>
    <row r="28" spans="1:8" ht="15.75" x14ac:dyDescent="0.25">
      <c r="A28" s="472">
        <v>2022</v>
      </c>
      <c r="B28" s="133" t="s">
        <v>12</v>
      </c>
      <c r="C28" s="163">
        <v>156</v>
      </c>
      <c r="D28" s="58">
        <v>39</v>
      </c>
      <c r="E28" s="164">
        <v>34</v>
      </c>
      <c r="F28" s="58">
        <v>18</v>
      </c>
      <c r="G28" s="58">
        <v>35</v>
      </c>
      <c r="H28" s="58">
        <v>30</v>
      </c>
    </row>
    <row r="29" spans="1:8" s="28" customFormat="1" ht="15.75" x14ac:dyDescent="0.25">
      <c r="A29" s="473">
        <v>2022</v>
      </c>
      <c r="B29" s="134" t="s">
        <v>13</v>
      </c>
      <c r="C29" s="169">
        <v>47</v>
      </c>
      <c r="D29" s="189">
        <v>12</v>
      </c>
      <c r="E29" s="166">
        <v>6</v>
      </c>
      <c r="F29" s="189">
        <v>16</v>
      </c>
      <c r="G29" s="189">
        <v>8</v>
      </c>
      <c r="H29" s="189">
        <v>5</v>
      </c>
    </row>
    <row r="30" spans="1:8" s="28" customFormat="1" ht="15.75" x14ac:dyDescent="0.25">
      <c r="A30" s="277">
        <v>2023</v>
      </c>
      <c r="B30" s="126" t="s">
        <v>121</v>
      </c>
      <c r="C30" s="127">
        <v>221</v>
      </c>
      <c r="D30" s="59">
        <v>50</v>
      </c>
      <c r="E30" s="59">
        <v>56</v>
      </c>
      <c r="F30" s="59">
        <v>39</v>
      </c>
      <c r="G30" s="59">
        <v>40</v>
      </c>
      <c r="H30" s="77">
        <v>36</v>
      </c>
    </row>
    <row r="31" spans="1:8" s="28" customFormat="1" ht="15.75" x14ac:dyDescent="0.25">
      <c r="A31" s="472">
        <v>2023</v>
      </c>
      <c r="B31" s="133" t="s">
        <v>12</v>
      </c>
      <c r="C31" s="163">
        <v>171</v>
      </c>
      <c r="D31" s="58">
        <v>32</v>
      </c>
      <c r="E31" s="164">
        <v>49</v>
      </c>
      <c r="F31" s="58">
        <v>33</v>
      </c>
      <c r="G31" s="58">
        <v>31</v>
      </c>
      <c r="H31" s="58">
        <v>26</v>
      </c>
    </row>
    <row r="32" spans="1:8" s="28" customFormat="1" ht="15.75" x14ac:dyDescent="0.25">
      <c r="A32" s="472">
        <v>2023</v>
      </c>
      <c r="B32" s="133" t="s">
        <v>13</v>
      </c>
      <c r="C32" s="163">
        <v>50</v>
      </c>
      <c r="D32" s="189">
        <v>18</v>
      </c>
      <c r="E32" s="166">
        <v>7</v>
      </c>
      <c r="F32" s="189">
        <v>6</v>
      </c>
      <c r="G32" s="189">
        <v>9</v>
      </c>
      <c r="H32" s="189">
        <v>10</v>
      </c>
    </row>
    <row r="33" spans="1:8" ht="15.75" x14ac:dyDescent="0.25">
      <c r="A33" s="277">
        <v>2024</v>
      </c>
      <c r="B33" s="126" t="s">
        <v>121</v>
      </c>
      <c r="C33" s="127">
        <v>290</v>
      </c>
      <c r="D33" s="59">
        <v>54</v>
      </c>
      <c r="E33" s="59">
        <v>65</v>
      </c>
      <c r="F33" s="59">
        <v>56</v>
      </c>
      <c r="G33" s="59">
        <v>65</v>
      </c>
      <c r="H33" s="77">
        <v>50</v>
      </c>
    </row>
    <row r="34" spans="1:8" ht="15.75" x14ac:dyDescent="0.25">
      <c r="A34" s="472">
        <v>2024</v>
      </c>
      <c r="B34" s="133" t="s">
        <v>12</v>
      </c>
      <c r="C34" s="163">
        <v>230</v>
      </c>
      <c r="D34" s="58">
        <v>40</v>
      </c>
      <c r="E34" s="164">
        <v>52</v>
      </c>
      <c r="F34" s="58">
        <v>42</v>
      </c>
      <c r="G34" s="58">
        <v>53</v>
      </c>
      <c r="H34" s="58">
        <v>43</v>
      </c>
    </row>
    <row r="35" spans="1:8" ht="15.75" x14ac:dyDescent="0.25">
      <c r="A35" s="472">
        <v>2024</v>
      </c>
      <c r="B35" s="133" t="s">
        <v>13</v>
      </c>
      <c r="C35" s="163">
        <v>60</v>
      </c>
      <c r="D35" s="58">
        <v>14</v>
      </c>
      <c r="E35" s="164">
        <v>13</v>
      </c>
      <c r="F35" s="58">
        <v>14</v>
      </c>
      <c r="G35" s="58">
        <v>12</v>
      </c>
      <c r="H35" s="58">
        <v>7</v>
      </c>
    </row>
    <row r="38" spans="1:8" x14ac:dyDescent="0.2">
      <c r="C38" s="229"/>
      <c r="D38" s="230"/>
      <c r="E38" s="230"/>
      <c r="F38" s="230"/>
      <c r="G38" s="230"/>
      <c r="H38" s="230"/>
    </row>
    <row r="39" spans="1:8" x14ac:dyDescent="0.2">
      <c r="C39" s="229"/>
      <c r="D39" s="231"/>
      <c r="E39" s="231"/>
      <c r="F39" s="231"/>
      <c r="G39" s="231"/>
      <c r="H39" s="229"/>
    </row>
  </sheetData>
  <hyperlinks>
    <hyperlink ref="A4" location="'Table List'!A1" display="Table list" xr:uid="{404BCE9A-24C0-4143-83CF-59CF18382456}"/>
    <hyperlink ref="A3" location="Notes!A1" display="Notes" xr:uid="{B5714D89-E8EF-4E03-AB75-DEBC84F17DD8}"/>
  </hyperlinks>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890FB-60D7-4FD8-8C71-E9C3B3566A94}">
  <sheetPr>
    <tabColor theme="3" tint="0.79998168889431442"/>
  </sheetPr>
  <dimension ref="A1:R5"/>
  <sheetViews>
    <sheetView showGridLines="0" workbookViewId="0">
      <pane ySplit="2" topLeftCell="A3" activePane="bottomLeft" state="frozen"/>
      <selection pane="bottomLeft" activeCell="A2" sqref="A2"/>
    </sheetView>
  </sheetViews>
  <sheetFormatPr defaultColWidth="9.42578125" defaultRowHeight="12.75" x14ac:dyDescent="0.2"/>
  <cols>
    <col min="1" max="1" width="9.42578125" style="3" customWidth="1"/>
    <col min="2" max="2" width="9.42578125" style="1" customWidth="1"/>
    <col min="3" max="3" width="9.42578125" customWidth="1"/>
    <col min="4" max="7" width="9.42578125" style="4" customWidth="1"/>
    <col min="8" max="18" width="9.42578125" customWidth="1"/>
  </cols>
  <sheetData>
    <row r="1" spans="1:18" s="348" customFormat="1" ht="19.5" x14ac:dyDescent="0.3">
      <c r="A1" s="12" t="s">
        <v>301</v>
      </c>
      <c r="B1" s="12"/>
      <c r="C1" s="12"/>
      <c r="D1" s="12"/>
      <c r="E1" s="12"/>
      <c r="F1" s="12"/>
      <c r="G1" s="12"/>
      <c r="H1" s="12"/>
      <c r="I1" s="12"/>
      <c r="J1" s="12"/>
      <c r="K1" s="12"/>
      <c r="L1" s="12"/>
      <c r="M1" s="12"/>
      <c r="N1" s="346"/>
      <c r="O1" s="12"/>
    </row>
    <row r="2" spans="1:18" s="348" customFormat="1" ht="19.5" x14ac:dyDescent="0.3">
      <c r="A2" s="12" t="s">
        <v>302</v>
      </c>
      <c r="B2" s="12"/>
      <c r="C2" s="12"/>
      <c r="D2" s="12"/>
      <c r="E2" s="12"/>
      <c r="F2" s="12"/>
      <c r="G2" s="12"/>
      <c r="H2" s="12"/>
      <c r="I2" s="349"/>
      <c r="J2" s="350"/>
      <c r="K2" s="12"/>
      <c r="L2" s="12"/>
      <c r="M2" s="12"/>
      <c r="N2" s="351"/>
      <c r="O2" s="12"/>
    </row>
    <row r="3" spans="1:18" s="46" customFormat="1" ht="15.75" x14ac:dyDescent="0.25">
      <c r="A3" s="405" t="s">
        <v>300</v>
      </c>
      <c r="B3" s="406"/>
      <c r="C3" s="407"/>
      <c r="D3" s="407"/>
      <c r="E3" s="407"/>
      <c r="F3" s="407"/>
      <c r="G3" s="407"/>
      <c r="R3" s="408"/>
    </row>
    <row r="4" spans="1:18" ht="15.75" x14ac:dyDescent="0.25">
      <c r="A4" s="98" t="s">
        <v>197</v>
      </c>
      <c r="B4" s="94"/>
      <c r="C4" s="95"/>
      <c r="D4" s="95"/>
      <c r="E4" s="95"/>
      <c r="F4" s="95"/>
      <c r="G4" s="95"/>
      <c r="H4" s="92"/>
      <c r="I4" s="96"/>
    </row>
    <row r="5" spans="1:18" ht="15.75" x14ac:dyDescent="0.25">
      <c r="A5" s="358" t="s">
        <v>250</v>
      </c>
      <c r="B5" s="199"/>
      <c r="C5" s="359"/>
      <c r="D5" s="359"/>
      <c r="E5" s="359"/>
      <c r="F5" s="359"/>
      <c r="G5" s="359"/>
      <c r="H5" s="359"/>
      <c r="I5" s="360"/>
      <c r="J5" s="360"/>
      <c r="K5" s="360"/>
      <c r="L5" s="361"/>
      <c r="M5" s="361"/>
      <c r="N5" s="361"/>
      <c r="O5" s="361"/>
      <c r="P5" s="361"/>
      <c r="Q5" s="361"/>
      <c r="R5" s="361"/>
    </row>
  </sheetData>
  <hyperlinks>
    <hyperlink ref="A3" location="Notes!A1" display="Notes" xr:uid="{542E7FB2-2963-4C5B-BA71-1540C3726117}"/>
    <hyperlink ref="A4" location="'Table List'!A1" display="Table list" xr:uid="{23F82B35-D1F1-4D8D-946B-52C2050CB2A1}"/>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0CD6-2CF7-41BD-8D05-77D69F57DD82}">
  <sheetPr>
    <tabColor theme="3" tint="0.79998168889431442"/>
  </sheetPr>
  <dimension ref="A1:I3"/>
  <sheetViews>
    <sheetView showGridLines="0" workbookViewId="0"/>
  </sheetViews>
  <sheetFormatPr defaultRowHeight="12.75" x14ac:dyDescent="0.2"/>
  <sheetData>
    <row r="1" spans="1:9" ht="19.5" x14ac:dyDescent="0.3">
      <c r="A1" s="12" t="s">
        <v>279</v>
      </c>
    </row>
    <row r="2" spans="1:9" ht="15.75" x14ac:dyDescent="0.25">
      <c r="A2" s="97" t="s">
        <v>304</v>
      </c>
      <c r="B2" s="94"/>
      <c r="C2" s="95"/>
      <c r="D2" s="95"/>
      <c r="E2" s="95"/>
      <c r="F2" s="95"/>
      <c r="G2" s="95"/>
    </row>
    <row r="3" spans="1:9" ht="15.75" x14ac:dyDescent="0.25">
      <c r="A3" s="98" t="s">
        <v>197</v>
      </c>
      <c r="B3" s="94"/>
      <c r="C3" s="95"/>
      <c r="D3" s="95"/>
      <c r="E3" s="95"/>
      <c r="F3" s="95"/>
      <c r="G3" s="95"/>
      <c r="H3" s="92"/>
      <c r="I3" s="96"/>
    </row>
  </sheetData>
  <hyperlinks>
    <hyperlink ref="A3" location="'Table List'!A1" display="Table list" xr:uid="{531F12C6-67E6-417D-BEB5-9C352CE24909}"/>
    <hyperlink ref="A2" location="Notes!A1" display="Notes" xr:uid="{86D77BDC-5A0D-473D-80B0-80D43D0609F8}"/>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79998168889431442"/>
  </sheetPr>
  <dimension ref="A1:L30"/>
  <sheetViews>
    <sheetView showGridLines="0" workbookViewId="0"/>
  </sheetViews>
  <sheetFormatPr defaultColWidth="9.42578125" defaultRowHeight="12.75" x14ac:dyDescent="0.2"/>
  <cols>
    <col min="1" max="1" width="29.5703125" customWidth="1"/>
    <col min="2" max="12" width="7" customWidth="1"/>
  </cols>
  <sheetData>
    <row r="1" spans="1:12" ht="19.5" x14ac:dyDescent="0.3">
      <c r="A1" s="13" t="s">
        <v>280</v>
      </c>
      <c r="B1" s="7"/>
      <c r="C1" s="7"/>
      <c r="D1" s="7"/>
      <c r="E1" s="7"/>
      <c r="F1" s="7"/>
      <c r="G1" s="7"/>
      <c r="H1" s="7"/>
      <c r="I1" s="7"/>
      <c r="J1" s="7"/>
      <c r="K1" s="7"/>
      <c r="L1" s="7"/>
    </row>
    <row r="2" spans="1:12" ht="15.75" x14ac:dyDescent="0.25">
      <c r="A2" s="97" t="s">
        <v>196</v>
      </c>
      <c r="B2" s="95"/>
      <c r="C2" s="95"/>
      <c r="D2" s="95"/>
      <c r="E2" s="95"/>
      <c r="G2" s="96"/>
    </row>
    <row r="3" spans="1:12" ht="16.5" thickBot="1" x14ac:dyDescent="0.3">
      <c r="A3" s="98" t="s">
        <v>197</v>
      </c>
      <c r="B3" s="95"/>
      <c r="C3" s="95"/>
      <c r="D3" s="95"/>
      <c r="E3" s="95"/>
      <c r="F3" s="92"/>
      <c r="G3" s="96"/>
    </row>
    <row r="4" spans="1:12" s="18" customFormat="1" ht="16.5" customHeight="1" thickBot="1" x14ac:dyDescent="0.25">
      <c r="A4" s="155" t="s">
        <v>30</v>
      </c>
      <c r="B4" s="211" t="s">
        <v>76</v>
      </c>
      <c r="C4" s="157" t="s">
        <v>77</v>
      </c>
      <c r="D4" s="157" t="s">
        <v>78</v>
      </c>
      <c r="E4" s="157" t="s">
        <v>79</v>
      </c>
      <c r="F4" s="158" t="s">
        <v>68</v>
      </c>
      <c r="G4" s="158" t="s">
        <v>83</v>
      </c>
      <c r="H4" s="158" t="s">
        <v>145</v>
      </c>
      <c r="I4" s="158" t="s">
        <v>163</v>
      </c>
      <c r="J4" s="158" t="s">
        <v>201</v>
      </c>
      <c r="K4" s="159" t="s">
        <v>228</v>
      </c>
    </row>
    <row r="5" spans="1:12" s="15" customFormat="1" ht="15.75" x14ac:dyDescent="0.25">
      <c r="A5" s="23" t="s">
        <v>31</v>
      </c>
      <c r="B5" s="212">
        <v>12</v>
      </c>
      <c r="C5" s="60">
        <v>7</v>
      </c>
      <c r="D5" s="60">
        <v>9</v>
      </c>
      <c r="E5" s="60">
        <v>14</v>
      </c>
      <c r="F5" s="60">
        <v>8</v>
      </c>
      <c r="G5" s="60">
        <v>13</v>
      </c>
      <c r="H5" s="60">
        <v>11</v>
      </c>
      <c r="I5" s="213">
        <v>17</v>
      </c>
      <c r="J5" s="213">
        <v>11</v>
      </c>
      <c r="K5" s="214">
        <v>15</v>
      </c>
    </row>
    <row r="6" spans="1:12" s="15" customFormat="1" ht="15.75" x14ac:dyDescent="0.25">
      <c r="A6" s="23" t="s">
        <v>32</v>
      </c>
      <c r="B6" s="212">
        <v>25</v>
      </c>
      <c r="C6" s="60">
        <v>27</v>
      </c>
      <c r="D6" s="60">
        <v>14</v>
      </c>
      <c r="E6" s="60">
        <v>26</v>
      </c>
      <c r="F6" s="60">
        <v>18</v>
      </c>
      <c r="G6" s="60">
        <v>24</v>
      </c>
      <c r="H6" s="60">
        <v>23</v>
      </c>
      <c r="I6" s="213">
        <v>12</v>
      </c>
      <c r="J6" s="213">
        <v>14</v>
      </c>
      <c r="K6" s="214">
        <v>18</v>
      </c>
    </row>
    <row r="7" spans="1:12" s="15" customFormat="1" ht="15.75" x14ac:dyDescent="0.25">
      <c r="A7" s="23" t="s">
        <v>33</v>
      </c>
      <c r="B7" s="212">
        <v>13</v>
      </c>
      <c r="C7" s="60">
        <v>7</v>
      </c>
      <c r="D7" s="60">
        <v>12</v>
      </c>
      <c r="E7" s="60">
        <v>12</v>
      </c>
      <c r="F7" s="60">
        <v>16</v>
      </c>
      <c r="G7" s="60">
        <v>10</v>
      </c>
      <c r="H7" s="60">
        <v>9</v>
      </c>
      <c r="I7" s="213">
        <v>15</v>
      </c>
      <c r="J7" s="213">
        <v>16</v>
      </c>
      <c r="K7" s="214">
        <v>15</v>
      </c>
    </row>
    <row r="8" spans="1:12" s="15" customFormat="1" ht="15.75" x14ac:dyDescent="0.25">
      <c r="A8" s="23" t="s">
        <v>34</v>
      </c>
      <c r="B8" s="212">
        <v>14</v>
      </c>
      <c r="C8" s="60">
        <v>14</v>
      </c>
      <c r="D8" s="60">
        <v>19</v>
      </c>
      <c r="E8" s="60">
        <v>20</v>
      </c>
      <c r="F8" s="60">
        <v>21</v>
      </c>
      <c r="G8" s="60">
        <v>23</v>
      </c>
      <c r="H8" s="60">
        <v>25</v>
      </c>
      <c r="I8" s="213">
        <v>20</v>
      </c>
      <c r="J8" s="213">
        <v>13</v>
      </c>
      <c r="K8" s="214">
        <v>16</v>
      </c>
    </row>
    <row r="9" spans="1:12" s="15" customFormat="1" ht="15.75" x14ac:dyDescent="0.25">
      <c r="A9" s="23" t="s">
        <v>35</v>
      </c>
      <c r="B9" s="212">
        <v>11</v>
      </c>
      <c r="C9" s="60">
        <v>11</v>
      </c>
      <c r="D9" s="60">
        <v>9</v>
      </c>
      <c r="E9" s="60">
        <v>13</v>
      </c>
      <c r="F9" s="60">
        <v>12</v>
      </c>
      <c r="G9" s="60">
        <v>6</v>
      </c>
      <c r="H9" s="60">
        <v>8</v>
      </c>
      <c r="I9" s="213">
        <v>4</v>
      </c>
      <c r="J9" s="213">
        <v>5</v>
      </c>
      <c r="K9" s="214">
        <v>9</v>
      </c>
    </row>
    <row r="10" spans="1:12" s="15" customFormat="1" ht="15.75" x14ac:dyDescent="0.25">
      <c r="A10" s="23" t="s">
        <v>36</v>
      </c>
      <c r="B10" s="212">
        <v>8</v>
      </c>
      <c r="C10" s="60">
        <v>10</v>
      </c>
      <c r="D10" s="60">
        <v>9</v>
      </c>
      <c r="E10" s="60">
        <v>12</v>
      </c>
      <c r="F10" s="60">
        <v>6</v>
      </c>
      <c r="G10" s="60">
        <v>7</v>
      </c>
      <c r="H10" s="60">
        <v>9</v>
      </c>
      <c r="I10" s="213">
        <v>9</v>
      </c>
      <c r="J10" s="213">
        <v>7</v>
      </c>
      <c r="K10" s="214">
        <v>16</v>
      </c>
    </row>
    <row r="11" spans="1:12" s="15" customFormat="1" ht="15.75" x14ac:dyDescent="0.25">
      <c r="A11" s="23" t="s">
        <v>37</v>
      </c>
      <c r="B11" s="212">
        <v>14</v>
      </c>
      <c r="C11" s="60">
        <v>18</v>
      </c>
      <c r="D11" s="60">
        <v>16</v>
      </c>
      <c r="E11" s="60">
        <v>18</v>
      </c>
      <c r="F11" s="60">
        <v>14</v>
      </c>
      <c r="G11" s="60">
        <v>14</v>
      </c>
      <c r="H11" s="60">
        <v>12</v>
      </c>
      <c r="I11" s="213">
        <v>13</v>
      </c>
      <c r="J11" s="213">
        <v>11</v>
      </c>
      <c r="K11" s="214">
        <v>23</v>
      </c>
    </row>
    <row r="12" spans="1:12" s="15" customFormat="1" ht="15.75" x14ac:dyDescent="0.25">
      <c r="A12" s="23" t="s">
        <v>38</v>
      </c>
      <c r="B12" s="212">
        <v>11</v>
      </c>
      <c r="C12" s="60">
        <v>7</v>
      </c>
      <c r="D12" s="60">
        <v>11</v>
      </c>
      <c r="E12" s="60">
        <v>13</v>
      </c>
      <c r="F12" s="60">
        <v>18</v>
      </c>
      <c r="G12" s="60">
        <v>9</v>
      </c>
      <c r="H12" s="60">
        <v>21</v>
      </c>
      <c r="I12" s="213">
        <v>6</v>
      </c>
      <c r="J12" s="213">
        <v>17</v>
      </c>
      <c r="K12" s="214">
        <v>16</v>
      </c>
    </row>
    <row r="13" spans="1:12" s="15" customFormat="1" ht="15.75" x14ac:dyDescent="0.25">
      <c r="A13" s="23" t="s">
        <v>39</v>
      </c>
      <c r="B13" s="212">
        <v>16</v>
      </c>
      <c r="C13" s="60">
        <v>10</v>
      </c>
      <c r="D13" s="60">
        <v>12</v>
      </c>
      <c r="E13" s="60">
        <v>15</v>
      </c>
      <c r="F13" s="60">
        <v>18</v>
      </c>
      <c r="G13" s="60">
        <v>12</v>
      </c>
      <c r="H13" s="60">
        <v>11</v>
      </c>
      <c r="I13" s="213">
        <v>10</v>
      </c>
      <c r="J13" s="213">
        <v>15</v>
      </c>
      <c r="K13" s="214">
        <v>15</v>
      </c>
    </row>
    <row r="14" spans="1:12" s="15" customFormat="1" ht="15.75" x14ac:dyDescent="0.25">
      <c r="A14" s="23" t="s">
        <v>25</v>
      </c>
      <c r="B14" s="212">
        <v>8</v>
      </c>
      <c r="C14" s="60">
        <v>6</v>
      </c>
      <c r="D14" s="60">
        <v>9</v>
      </c>
      <c r="E14" s="60">
        <v>7</v>
      </c>
      <c r="F14" s="60">
        <v>11</v>
      </c>
      <c r="G14" s="60">
        <v>8</v>
      </c>
      <c r="H14" s="60">
        <v>11</v>
      </c>
      <c r="I14" s="213">
        <v>11</v>
      </c>
      <c r="J14" s="213">
        <v>15</v>
      </c>
      <c r="K14" s="214">
        <v>11</v>
      </c>
    </row>
    <row r="15" spans="1:12" s="15" customFormat="1" ht="15.75" x14ac:dyDescent="0.25">
      <c r="A15" s="23" t="s">
        <v>40</v>
      </c>
      <c r="B15" s="212">
        <v>14</v>
      </c>
      <c r="C15" s="60">
        <v>13</v>
      </c>
      <c r="D15" s="60">
        <v>12</v>
      </c>
      <c r="E15" s="60">
        <v>7</v>
      </c>
      <c r="F15" s="60">
        <v>6</v>
      </c>
      <c r="G15" s="60">
        <v>14</v>
      </c>
      <c r="H15" s="60">
        <v>15</v>
      </c>
      <c r="I15" s="213">
        <v>14</v>
      </c>
      <c r="J15" s="213">
        <v>15</v>
      </c>
      <c r="K15" s="214">
        <v>18</v>
      </c>
    </row>
    <row r="16" spans="1:12" s="15" customFormat="1" ht="15.75" x14ac:dyDescent="0.25">
      <c r="A16" s="23" t="s">
        <v>41</v>
      </c>
      <c r="B16" s="212">
        <v>10</v>
      </c>
      <c r="C16" s="60">
        <v>12</v>
      </c>
      <c r="D16" s="60">
        <v>13</v>
      </c>
      <c r="E16" s="60">
        <v>14</v>
      </c>
      <c r="F16" s="60">
        <v>9</v>
      </c>
      <c r="G16" s="60">
        <v>12</v>
      </c>
      <c r="H16" s="60">
        <v>10</v>
      </c>
      <c r="I16" s="213">
        <v>14</v>
      </c>
      <c r="J16" s="213">
        <v>19</v>
      </c>
      <c r="K16" s="214">
        <v>16</v>
      </c>
    </row>
    <row r="17" spans="1:11" s="15" customFormat="1" ht="15.75" x14ac:dyDescent="0.25">
      <c r="A17" s="23" t="s">
        <v>29</v>
      </c>
      <c r="B17" s="212">
        <v>7</v>
      </c>
      <c r="C17" s="60">
        <v>7</v>
      </c>
      <c r="D17" s="60">
        <v>11</v>
      </c>
      <c r="E17" s="60">
        <v>7</v>
      </c>
      <c r="F17" s="60">
        <v>5</v>
      </c>
      <c r="G17" s="60">
        <v>10</v>
      </c>
      <c r="H17" s="60">
        <v>13</v>
      </c>
      <c r="I17" s="213">
        <v>5</v>
      </c>
      <c r="J17" s="213">
        <v>6</v>
      </c>
      <c r="K17" s="214">
        <v>13</v>
      </c>
    </row>
    <row r="18" spans="1:11" s="15" customFormat="1" ht="15.75" x14ac:dyDescent="0.25">
      <c r="A18" s="23" t="s">
        <v>42</v>
      </c>
      <c r="B18" s="212">
        <v>8</v>
      </c>
      <c r="C18" s="60">
        <v>11</v>
      </c>
      <c r="D18" s="60">
        <v>6</v>
      </c>
      <c r="E18" s="60">
        <v>13</v>
      </c>
      <c r="F18" s="60">
        <v>5</v>
      </c>
      <c r="G18" s="60">
        <v>8</v>
      </c>
      <c r="H18" s="60">
        <v>7</v>
      </c>
      <c r="I18" s="213">
        <v>7</v>
      </c>
      <c r="J18" s="213">
        <v>11</v>
      </c>
      <c r="K18" s="214">
        <v>17</v>
      </c>
    </row>
    <row r="19" spans="1:11" s="15" customFormat="1" ht="15.75" x14ac:dyDescent="0.25">
      <c r="A19" s="23" t="s">
        <v>43</v>
      </c>
      <c r="B19" s="212">
        <v>14</v>
      </c>
      <c r="C19" s="60">
        <v>8</v>
      </c>
      <c r="D19" s="60">
        <v>12</v>
      </c>
      <c r="E19" s="60">
        <v>11</v>
      </c>
      <c r="F19" s="60">
        <v>9</v>
      </c>
      <c r="G19" s="60">
        <v>17</v>
      </c>
      <c r="H19" s="60">
        <v>13</v>
      </c>
      <c r="I19" s="213">
        <v>10</v>
      </c>
      <c r="J19" s="213">
        <v>9</v>
      </c>
      <c r="K19" s="214">
        <v>17</v>
      </c>
    </row>
    <row r="20" spans="1:11" s="15" customFormat="1" ht="15.75" x14ac:dyDescent="0.25">
      <c r="A20" s="23" t="s">
        <v>44</v>
      </c>
      <c r="B20" s="212">
        <v>10</v>
      </c>
      <c r="C20" s="60">
        <v>12</v>
      </c>
      <c r="D20" s="60">
        <v>7</v>
      </c>
      <c r="E20" s="60">
        <v>10</v>
      </c>
      <c r="F20" s="60">
        <v>9</v>
      </c>
      <c r="G20" s="60">
        <v>6</v>
      </c>
      <c r="H20" s="60">
        <v>12</v>
      </c>
      <c r="I20" s="213">
        <v>9</v>
      </c>
      <c r="J20" s="213">
        <v>11</v>
      </c>
      <c r="K20" s="214">
        <v>16</v>
      </c>
    </row>
    <row r="21" spans="1:11" s="15" customFormat="1" ht="15.75" x14ac:dyDescent="0.25">
      <c r="A21" s="23" t="s">
        <v>45</v>
      </c>
      <c r="B21" s="212">
        <v>16</v>
      </c>
      <c r="C21" s="60">
        <v>7</v>
      </c>
      <c r="D21" s="60">
        <v>9</v>
      </c>
      <c r="E21" s="60">
        <v>11</v>
      </c>
      <c r="F21" s="60">
        <v>13</v>
      </c>
      <c r="G21" s="60">
        <v>17</v>
      </c>
      <c r="H21" s="60">
        <v>21</v>
      </c>
      <c r="I21" s="213">
        <v>14</v>
      </c>
      <c r="J21" s="213">
        <v>14</v>
      </c>
      <c r="K21" s="214">
        <v>25</v>
      </c>
    </row>
    <row r="22" spans="1:11" s="15" customFormat="1" ht="15.75" x14ac:dyDescent="0.25">
      <c r="A22" s="254" t="s">
        <v>46</v>
      </c>
      <c r="B22" s="255">
        <v>9</v>
      </c>
      <c r="C22" s="192">
        <v>8</v>
      </c>
      <c r="D22" s="192">
        <v>9</v>
      </c>
      <c r="E22" s="192">
        <v>13</v>
      </c>
      <c r="F22" s="192">
        <v>7</v>
      </c>
      <c r="G22" s="192">
        <v>9</v>
      </c>
      <c r="H22" s="192">
        <v>6</v>
      </c>
      <c r="I22" s="256">
        <v>13</v>
      </c>
      <c r="J22" s="256">
        <v>12</v>
      </c>
      <c r="K22" s="257">
        <v>14</v>
      </c>
    </row>
    <row r="23" spans="1:11" s="22" customFormat="1" ht="16.5" thickBot="1" x14ac:dyDescent="0.3">
      <c r="A23" s="253" t="s">
        <v>28</v>
      </c>
      <c r="B23" s="215">
        <v>220</v>
      </c>
      <c r="C23" s="216">
        <v>195</v>
      </c>
      <c r="D23" s="216">
        <v>199</v>
      </c>
      <c r="E23" s="216">
        <v>236</v>
      </c>
      <c r="F23" s="216">
        <v>205</v>
      </c>
      <c r="G23" s="216">
        <v>219</v>
      </c>
      <c r="H23" s="216">
        <v>237</v>
      </c>
      <c r="I23" s="216">
        <v>203</v>
      </c>
      <c r="J23" s="216">
        <v>221</v>
      </c>
      <c r="K23" s="217">
        <v>290</v>
      </c>
    </row>
    <row r="24" spans="1:11" s="19" customFormat="1" ht="15.75" x14ac:dyDescent="0.25">
      <c r="A24" s="57"/>
      <c r="B24" s="15"/>
      <c r="C24" s="15"/>
      <c r="D24" s="15"/>
      <c r="E24" s="15"/>
      <c r="F24" s="15"/>
      <c r="G24" s="15"/>
      <c r="H24" s="15"/>
    </row>
    <row r="25" spans="1:11" s="19" customFormat="1" ht="15.75" x14ac:dyDescent="0.25">
      <c r="A25" s="57"/>
      <c r="B25" s="15"/>
      <c r="C25" s="15"/>
      <c r="D25" s="15"/>
      <c r="E25" s="15"/>
      <c r="F25" s="15"/>
      <c r="G25" s="15"/>
      <c r="H25" s="15"/>
    </row>
    <row r="26" spans="1:11" s="19" customFormat="1" ht="15.75" x14ac:dyDescent="0.25">
      <c r="A26" s="61"/>
      <c r="B26" s="15"/>
      <c r="C26" s="15"/>
      <c r="D26" s="15"/>
      <c r="E26" s="15"/>
      <c r="F26" s="15"/>
      <c r="G26" s="15"/>
      <c r="H26" s="15"/>
    </row>
    <row r="27" spans="1:11" s="15" customFormat="1" ht="15.75" x14ac:dyDescent="0.25">
      <c r="A27" s="61"/>
    </row>
    <row r="28" spans="1:11" s="15" customFormat="1" ht="15.75" x14ac:dyDescent="0.25">
      <c r="A28" s="61"/>
    </row>
    <row r="29" spans="1:11" s="15" customFormat="1" ht="15.75" x14ac:dyDescent="0.25"/>
    <row r="30" spans="1:11" s="15" customFormat="1" ht="15.75" x14ac:dyDescent="0.25"/>
  </sheetData>
  <phoneticPr fontId="53" type="noConversion"/>
  <hyperlinks>
    <hyperlink ref="A3" location="'Table List'!A1" display="Table list" xr:uid="{5310E2F7-E6E3-49CE-957C-697C026F1092}"/>
    <hyperlink ref="A2" location="Notes!A1" display="Notes" xr:uid="{6D96DD98-51E1-40B0-B8F4-B8C3BB098D20}"/>
  </hyperlinks>
  <pageMargins left="0.75" right="0.75" top="1" bottom="1" header="0.5" footer="0.5"/>
  <pageSetup paperSize="9" orientation="portrait" r:id="rId1"/>
  <headerFooter alignWithMargins="0"/>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79998168889431442"/>
  </sheetPr>
  <dimension ref="A1:L16"/>
  <sheetViews>
    <sheetView showGridLines="0" workbookViewId="0"/>
  </sheetViews>
  <sheetFormatPr defaultColWidth="9.42578125" defaultRowHeight="12.75" x14ac:dyDescent="0.2"/>
  <cols>
    <col min="1" max="1" width="45" customWidth="1"/>
    <col min="2" max="11" width="7" customWidth="1"/>
  </cols>
  <sheetData>
    <row r="1" spans="1:12" ht="19.5" x14ac:dyDescent="0.3">
      <c r="A1" s="12" t="s">
        <v>281</v>
      </c>
      <c r="B1" s="14"/>
      <c r="C1" s="14"/>
      <c r="D1" s="14"/>
      <c r="L1" s="31"/>
    </row>
    <row r="2" spans="1:12" ht="15.75" x14ac:dyDescent="0.25">
      <c r="A2" s="97" t="s">
        <v>196</v>
      </c>
      <c r="B2" s="95"/>
      <c r="C2" s="95"/>
      <c r="D2" s="95"/>
      <c r="E2" s="95"/>
      <c r="G2" s="96"/>
    </row>
    <row r="3" spans="1:12" ht="16.5" thickBot="1" x14ac:dyDescent="0.3">
      <c r="A3" s="98" t="s">
        <v>197</v>
      </c>
      <c r="B3" s="95"/>
      <c r="C3" s="95"/>
      <c r="D3" s="95"/>
      <c r="E3" s="95"/>
      <c r="F3" s="92"/>
      <c r="G3" s="96"/>
    </row>
    <row r="4" spans="1:12" s="18" customFormat="1" ht="16.5" customHeight="1" thickBot="1" x14ac:dyDescent="0.25">
      <c r="A4" s="160" t="s">
        <v>69</v>
      </c>
      <c r="B4" s="258" t="s">
        <v>76</v>
      </c>
      <c r="C4" s="158" t="s">
        <v>77</v>
      </c>
      <c r="D4" s="158" t="s">
        <v>78</v>
      </c>
      <c r="E4" s="158" t="s">
        <v>79</v>
      </c>
      <c r="F4" s="161" t="s">
        <v>68</v>
      </c>
      <c r="G4" s="161" t="s">
        <v>83</v>
      </c>
      <c r="H4" s="158" t="s">
        <v>145</v>
      </c>
      <c r="I4" s="162" t="s">
        <v>163</v>
      </c>
      <c r="J4" s="162" t="s">
        <v>201</v>
      </c>
      <c r="K4" s="159" t="s">
        <v>228</v>
      </c>
    </row>
    <row r="5" spans="1:12" s="21" customFormat="1" ht="15.75" x14ac:dyDescent="0.2">
      <c r="A5" s="139" t="s">
        <v>47</v>
      </c>
      <c r="B5" s="69">
        <v>85</v>
      </c>
      <c r="C5" s="65">
        <v>78</v>
      </c>
      <c r="D5" s="65">
        <v>78</v>
      </c>
      <c r="E5" s="66">
        <v>94</v>
      </c>
      <c r="F5" s="67">
        <v>83</v>
      </c>
      <c r="G5" s="67">
        <v>93</v>
      </c>
      <c r="H5" s="66">
        <v>83</v>
      </c>
      <c r="I5" s="80">
        <v>73</v>
      </c>
      <c r="J5" s="80">
        <v>71</v>
      </c>
      <c r="K5" s="66">
        <v>93</v>
      </c>
    </row>
    <row r="6" spans="1:12" s="15" customFormat="1" ht="15.75" x14ac:dyDescent="0.25">
      <c r="A6" s="135" t="s">
        <v>74</v>
      </c>
      <c r="B6" s="58">
        <v>28</v>
      </c>
      <c r="C6" s="60">
        <v>16</v>
      </c>
      <c r="D6" s="60">
        <v>23</v>
      </c>
      <c r="E6" s="66">
        <v>28</v>
      </c>
      <c r="F6" s="67">
        <v>31</v>
      </c>
      <c r="G6" s="62">
        <v>26</v>
      </c>
      <c r="H6" s="62">
        <v>35</v>
      </c>
      <c r="I6" s="81">
        <v>25</v>
      </c>
      <c r="J6" s="81">
        <v>29</v>
      </c>
      <c r="K6" s="62">
        <v>39</v>
      </c>
    </row>
    <row r="7" spans="1:12" s="23" customFormat="1" ht="15.75" x14ac:dyDescent="0.25">
      <c r="A7" s="139" t="s">
        <v>70</v>
      </c>
      <c r="B7" s="69">
        <v>34</v>
      </c>
      <c r="C7" s="65">
        <v>34</v>
      </c>
      <c r="D7" s="65">
        <v>22</v>
      </c>
      <c r="E7" s="66">
        <v>32</v>
      </c>
      <c r="F7" s="67">
        <v>23</v>
      </c>
      <c r="G7" s="60">
        <v>30</v>
      </c>
      <c r="H7" s="60">
        <v>36</v>
      </c>
      <c r="I7" s="82">
        <v>27</v>
      </c>
      <c r="J7" s="82">
        <v>36</v>
      </c>
      <c r="K7" s="60">
        <v>43</v>
      </c>
    </row>
    <row r="8" spans="1:12" s="23" customFormat="1" ht="15.75" x14ac:dyDescent="0.25">
      <c r="A8" s="139" t="s">
        <v>71</v>
      </c>
      <c r="B8" s="69">
        <v>40</v>
      </c>
      <c r="C8" s="65">
        <v>35</v>
      </c>
      <c r="D8" s="65">
        <v>34</v>
      </c>
      <c r="E8" s="66">
        <v>36</v>
      </c>
      <c r="F8" s="67">
        <v>28</v>
      </c>
      <c r="G8" s="60">
        <v>30</v>
      </c>
      <c r="H8" s="60">
        <v>38</v>
      </c>
      <c r="I8" s="82">
        <v>51</v>
      </c>
      <c r="J8" s="82">
        <v>44</v>
      </c>
      <c r="K8" s="60">
        <v>60</v>
      </c>
    </row>
    <row r="9" spans="1:12" s="23" customFormat="1" ht="15.75" x14ac:dyDescent="0.25">
      <c r="A9" s="194" t="s">
        <v>75</v>
      </c>
      <c r="B9" s="259">
        <v>33</v>
      </c>
      <c r="C9" s="195">
        <v>32</v>
      </c>
      <c r="D9" s="195">
        <v>42</v>
      </c>
      <c r="E9" s="196">
        <v>46</v>
      </c>
      <c r="F9" s="197">
        <v>40</v>
      </c>
      <c r="G9" s="196">
        <v>40</v>
      </c>
      <c r="H9" s="196">
        <v>45</v>
      </c>
      <c r="I9" s="198">
        <v>27</v>
      </c>
      <c r="J9" s="198">
        <v>41</v>
      </c>
      <c r="K9" s="196">
        <v>55</v>
      </c>
    </row>
    <row r="10" spans="1:12" s="23" customFormat="1" ht="15.75" x14ac:dyDescent="0.25">
      <c r="A10" s="139" t="s">
        <v>72</v>
      </c>
      <c r="B10" s="69">
        <v>68</v>
      </c>
      <c r="C10" s="65">
        <v>51</v>
      </c>
      <c r="D10" s="65">
        <v>57</v>
      </c>
      <c r="E10" s="66">
        <v>64</v>
      </c>
      <c r="F10" s="66">
        <v>59</v>
      </c>
      <c r="G10" s="66">
        <v>56</v>
      </c>
      <c r="H10" s="66">
        <v>73</v>
      </c>
      <c r="I10" s="66">
        <v>76</v>
      </c>
      <c r="J10" s="66">
        <v>73</v>
      </c>
      <c r="K10" s="66">
        <v>99</v>
      </c>
    </row>
    <row r="11" spans="1:12" s="23" customFormat="1" ht="16.5" thickBot="1" x14ac:dyDescent="0.3">
      <c r="A11" s="139" t="s">
        <v>73</v>
      </c>
      <c r="B11" s="260">
        <v>152</v>
      </c>
      <c r="C11" s="65">
        <v>144</v>
      </c>
      <c r="D11" s="65">
        <v>142</v>
      </c>
      <c r="E11" s="68">
        <v>172</v>
      </c>
      <c r="F11" s="68">
        <v>146</v>
      </c>
      <c r="G11" s="68">
        <v>163</v>
      </c>
      <c r="H11" s="68">
        <v>164</v>
      </c>
      <c r="I11" s="68">
        <v>127</v>
      </c>
      <c r="J11" s="68">
        <v>148</v>
      </c>
      <c r="K11" s="68">
        <v>191</v>
      </c>
      <c r="L11" s="24"/>
    </row>
    <row r="12" spans="1:12" x14ac:dyDescent="0.2">
      <c r="A12" s="32"/>
      <c r="B12" s="47"/>
      <c r="C12" s="47"/>
      <c r="D12" s="47"/>
      <c r="E12" s="47"/>
      <c r="F12" s="47"/>
    </row>
    <row r="13" spans="1:12" x14ac:dyDescent="0.2">
      <c r="A13" s="32"/>
      <c r="B13" s="47"/>
      <c r="C13" s="47"/>
      <c r="D13" s="47"/>
      <c r="E13" s="47"/>
      <c r="F13" s="47"/>
    </row>
    <row r="14" spans="1:12" ht="15.75" x14ac:dyDescent="0.25">
      <c r="A14" s="33"/>
      <c r="B14" s="47"/>
      <c r="C14" s="47"/>
      <c r="D14" s="47"/>
      <c r="E14" s="47"/>
      <c r="F14" s="47"/>
    </row>
    <row r="15" spans="1:12" x14ac:dyDescent="0.2">
      <c r="A15" s="34"/>
    </row>
    <row r="16" spans="1:12" x14ac:dyDescent="0.2">
      <c r="A16" s="5"/>
    </row>
  </sheetData>
  <phoneticPr fontId="54" type="noConversion"/>
  <hyperlinks>
    <hyperlink ref="A3" location="'Table List'!A1" display="Table list" xr:uid="{EAE7CE29-65FC-46B6-9370-ADEF280CF4C0}"/>
    <hyperlink ref="A2" location="Notes!A1" display="Notes" xr:uid="{EC0B3494-EAB2-47B6-9B92-A594B7A33D4D}"/>
  </hyperlinks>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79998168889431442"/>
  </sheetPr>
  <dimension ref="A1:H24"/>
  <sheetViews>
    <sheetView showGridLines="0" workbookViewId="0"/>
  </sheetViews>
  <sheetFormatPr defaultColWidth="9.42578125" defaultRowHeight="15" x14ac:dyDescent="0.25"/>
  <cols>
    <col min="1" max="1" width="17.5703125" style="6" customWidth="1"/>
    <col min="2" max="2" width="13.42578125" style="6" customWidth="1"/>
    <col min="3" max="5" width="11.42578125" style="6" customWidth="1"/>
    <col min="6" max="6" width="12.5703125" style="6" customWidth="1"/>
    <col min="7" max="7" width="11.42578125" style="6" customWidth="1"/>
    <col min="8" max="8" width="9.42578125" style="6"/>
    <col min="9" max="9" width="6.5703125" style="6" customWidth="1"/>
    <col min="10" max="16384" width="9.42578125" style="6"/>
  </cols>
  <sheetData>
    <row r="1" spans="1:8" ht="19.5" x14ac:dyDescent="0.3">
      <c r="A1" s="13" t="s">
        <v>282</v>
      </c>
      <c r="B1" s="14"/>
      <c r="C1" s="14"/>
      <c r="D1" s="14"/>
      <c r="E1" s="14"/>
      <c r="F1" s="14"/>
      <c r="G1" s="14"/>
      <c r="H1" s="14"/>
    </row>
    <row r="2" spans="1:8" customFormat="1" ht="15.75" x14ac:dyDescent="0.25">
      <c r="A2" s="97" t="s">
        <v>196</v>
      </c>
      <c r="B2" s="94"/>
      <c r="C2" s="95"/>
      <c r="D2" s="95"/>
      <c r="E2" s="95"/>
      <c r="F2" s="95"/>
      <c r="G2" s="95"/>
    </row>
    <row r="3" spans="1:8" customFormat="1" ht="16.5" thickBot="1" x14ac:dyDescent="0.3">
      <c r="A3" s="98" t="s">
        <v>197</v>
      </c>
      <c r="B3" s="94"/>
      <c r="C3" s="95"/>
      <c r="D3" s="95"/>
      <c r="E3" s="95"/>
      <c r="F3" s="95"/>
      <c r="G3" s="95"/>
      <c r="H3" s="92"/>
    </row>
    <row r="4" spans="1:8" s="25" customFormat="1" ht="45.6" customHeight="1" thickBot="1" x14ac:dyDescent="0.3">
      <c r="A4" s="323" t="s">
        <v>11</v>
      </c>
      <c r="B4" s="432" t="s">
        <v>324</v>
      </c>
      <c r="C4" s="433" t="s">
        <v>325</v>
      </c>
      <c r="D4" s="433" t="s">
        <v>326</v>
      </c>
      <c r="E4" s="433" t="s">
        <v>327</v>
      </c>
      <c r="F4" s="434" t="s">
        <v>328</v>
      </c>
      <c r="G4" s="431" t="s">
        <v>16</v>
      </c>
    </row>
    <row r="5" spans="1:8" s="25" customFormat="1" ht="15.75" x14ac:dyDescent="0.25">
      <c r="A5" s="275">
        <v>2015</v>
      </c>
      <c r="B5" s="65">
        <v>65</v>
      </c>
      <c r="C5" s="65">
        <v>46</v>
      </c>
      <c r="D5" s="65">
        <v>36</v>
      </c>
      <c r="E5" s="65">
        <v>45</v>
      </c>
      <c r="F5" s="65">
        <v>28</v>
      </c>
      <c r="G5" s="140">
        <v>220</v>
      </c>
    </row>
    <row r="6" spans="1:8" s="25" customFormat="1" ht="15.75" x14ac:dyDescent="0.25">
      <c r="A6" s="275">
        <v>2016</v>
      </c>
      <c r="B6" s="65">
        <v>72</v>
      </c>
      <c r="C6" s="65">
        <v>43</v>
      </c>
      <c r="D6" s="65">
        <v>30</v>
      </c>
      <c r="E6" s="65">
        <v>24</v>
      </c>
      <c r="F6" s="65">
        <v>26</v>
      </c>
      <c r="G6" s="140">
        <v>195</v>
      </c>
    </row>
    <row r="7" spans="1:8" s="25" customFormat="1" ht="15.75" x14ac:dyDescent="0.25">
      <c r="A7" s="275">
        <v>2017</v>
      </c>
      <c r="B7" s="65">
        <v>60</v>
      </c>
      <c r="C7" s="65">
        <v>50</v>
      </c>
      <c r="D7" s="65">
        <v>31</v>
      </c>
      <c r="E7" s="65">
        <v>36</v>
      </c>
      <c r="F7" s="65">
        <v>22</v>
      </c>
      <c r="G7" s="140">
        <v>199</v>
      </c>
    </row>
    <row r="8" spans="1:8" s="25" customFormat="1" ht="15.75" x14ac:dyDescent="0.25">
      <c r="A8" s="275">
        <v>2018</v>
      </c>
      <c r="B8" s="65">
        <v>71</v>
      </c>
      <c r="C8" s="65">
        <v>54</v>
      </c>
      <c r="D8" s="65">
        <v>48</v>
      </c>
      <c r="E8" s="65">
        <v>38</v>
      </c>
      <c r="F8" s="65">
        <v>25</v>
      </c>
      <c r="G8" s="140">
        <v>236</v>
      </c>
    </row>
    <row r="9" spans="1:8" s="25" customFormat="1" ht="15.75" x14ac:dyDescent="0.25">
      <c r="A9" s="275">
        <v>2019</v>
      </c>
      <c r="B9" s="65">
        <v>57</v>
      </c>
      <c r="C9" s="65">
        <v>47</v>
      </c>
      <c r="D9" s="65">
        <v>40</v>
      </c>
      <c r="E9" s="65">
        <v>26</v>
      </c>
      <c r="F9" s="65">
        <v>35</v>
      </c>
      <c r="G9" s="140">
        <v>205</v>
      </c>
    </row>
    <row r="10" spans="1:8" s="25" customFormat="1" ht="17.100000000000001" customHeight="1" x14ac:dyDescent="0.25">
      <c r="A10" s="275">
        <v>2020</v>
      </c>
      <c r="B10" s="65">
        <v>62</v>
      </c>
      <c r="C10" s="65">
        <v>49</v>
      </c>
      <c r="D10" s="65">
        <v>34</v>
      </c>
      <c r="E10" s="65">
        <v>39</v>
      </c>
      <c r="F10" s="65">
        <v>35</v>
      </c>
      <c r="G10" s="140">
        <v>219</v>
      </c>
    </row>
    <row r="11" spans="1:8" s="25" customFormat="1" ht="15.75" x14ac:dyDescent="0.25">
      <c r="A11" s="275">
        <v>2021</v>
      </c>
      <c r="B11" s="69">
        <v>80</v>
      </c>
      <c r="C11" s="65">
        <v>50</v>
      </c>
      <c r="D11" s="65">
        <v>43</v>
      </c>
      <c r="E11" s="65">
        <v>42</v>
      </c>
      <c r="F11" s="70">
        <v>22</v>
      </c>
      <c r="G11" s="140">
        <v>237</v>
      </c>
    </row>
    <row r="12" spans="1:8" s="15" customFormat="1" ht="15.75" x14ac:dyDescent="0.25">
      <c r="A12" s="275">
        <v>2022</v>
      </c>
      <c r="B12" s="65">
        <v>63</v>
      </c>
      <c r="C12" s="65">
        <v>48</v>
      </c>
      <c r="D12" s="65">
        <v>43</v>
      </c>
      <c r="E12" s="65">
        <v>30</v>
      </c>
      <c r="F12" s="65">
        <v>19</v>
      </c>
      <c r="G12" s="140">
        <v>203</v>
      </c>
    </row>
    <row r="13" spans="1:8" s="15" customFormat="1" ht="15.75" x14ac:dyDescent="0.25">
      <c r="A13" s="275">
        <v>2023</v>
      </c>
      <c r="B13" s="65">
        <v>63</v>
      </c>
      <c r="C13" s="65">
        <v>55</v>
      </c>
      <c r="D13" s="65">
        <v>38</v>
      </c>
      <c r="E13" s="65">
        <v>36</v>
      </c>
      <c r="F13" s="65">
        <v>29</v>
      </c>
      <c r="G13" s="140">
        <v>221</v>
      </c>
    </row>
    <row r="14" spans="1:8" ht="15.75" x14ac:dyDescent="0.25">
      <c r="A14" s="275">
        <v>2024</v>
      </c>
      <c r="B14" s="65">
        <v>82</v>
      </c>
      <c r="C14" s="65">
        <v>65</v>
      </c>
      <c r="D14" s="65">
        <v>59</v>
      </c>
      <c r="E14" s="65">
        <v>62</v>
      </c>
      <c r="F14" s="65">
        <v>22</v>
      </c>
      <c r="G14" s="140">
        <v>290</v>
      </c>
    </row>
    <row r="16" spans="1:8" x14ac:dyDescent="0.25">
      <c r="B16" s="108"/>
      <c r="C16" s="108"/>
      <c r="D16" s="111"/>
      <c r="E16" s="108"/>
      <c r="F16" s="108"/>
    </row>
    <row r="17" spans="2:7" x14ac:dyDescent="0.25">
      <c r="B17" s="109"/>
      <c r="C17" s="109"/>
      <c r="D17" s="109"/>
      <c r="E17" s="109"/>
      <c r="F17" s="109"/>
      <c r="G17" s="109"/>
    </row>
    <row r="19" spans="2:7" x14ac:dyDescent="0.25">
      <c r="B19" s="109"/>
    </row>
    <row r="20" spans="2:7" x14ac:dyDescent="0.25">
      <c r="B20" s="110"/>
    </row>
    <row r="21" spans="2:7" x14ac:dyDescent="0.25">
      <c r="B21" s="109"/>
    </row>
    <row r="24" spans="2:7" x14ac:dyDescent="0.25">
      <c r="B24" s="109"/>
    </row>
  </sheetData>
  <hyperlinks>
    <hyperlink ref="A3" location="'Table List'!A1" display="Table list" xr:uid="{04E360ED-6D80-48B5-80F0-1900E8237E9B}"/>
    <hyperlink ref="A2" location="Notes!A1" display="Notes" xr:uid="{3C58960A-4A59-42D5-8752-A27F22AB712D}"/>
  </hyperlinks>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A2758-A1D7-4693-A82B-475CA085B4B8}">
  <sheetPr>
    <tabColor theme="3" tint="0.79998168889431442"/>
  </sheetPr>
  <dimension ref="A1:I33"/>
  <sheetViews>
    <sheetView showGridLines="0" workbookViewId="0"/>
  </sheetViews>
  <sheetFormatPr defaultColWidth="9.42578125" defaultRowHeight="15" x14ac:dyDescent="0.25"/>
  <cols>
    <col min="1" max="1" width="18.5703125" style="6" customWidth="1"/>
    <col min="2" max="6" width="11.42578125" style="6" customWidth="1"/>
    <col min="7" max="16384" width="9.42578125" style="6"/>
  </cols>
  <sheetData>
    <row r="1" spans="1:9" ht="19.5" x14ac:dyDescent="0.3">
      <c r="A1" s="13" t="s">
        <v>305</v>
      </c>
      <c r="B1" s="247"/>
      <c r="C1" s="247"/>
      <c r="D1" s="247"/>
      <c r="E1" s="247"/>
      <c r="F1" s="247"/>
      <c r="G1" s="247"/>
    </row>
    <row r="2" spans="1:9" customFormat="1" ht="19.5" x14ac:dyDescent="0.3">
      <c r="A2" s="13" t="s">
        <v>306</v>
      </c>
      <c r="B2" s="246"/>
      <c r="C2" s="246"/>
      <c r="D2" s="246"/>
      <c r="E2" s="246"/>
      <c r="F2" s="246"/>
      <c r="G2" s="246"/>
    </row>
    <row r="3" spans="1:9" customFormat="1" ht="15.75" x14ac:dyDescent="0.25">
      <c r="A3" s="97" t="s">
        <v>196</v>
      </c>
      <c r="B3" s="94"/>
      <c r="C3" s="95"/>
      <c r="D3" s="95"/>
      <c r="E3" s="95"/>
      <c r="F3" s="95"/>
      <c r="G3" s="95"/>
    </row>
    <row r="4" spans="1:9" customFormat="1" ht="16.5" thickBot="1" x14ac:dyDescent="0.3">
      <c r="A4" s="98" t="s">
        <v>197</v>
      </c>
      <c r="B4" s="94"/>
      <c r="C4" s="95"/>
      <c r="D4" s="95"/>
      <c r="E4" s="95"/>
      <c r="F4" s="95"/>
      <c r="G4" s="95"/>
    </row>
    <row r="5" spans="1:9" s="25" customFormat="1" ht="53.45" customHeight="1" thickBot="1" x14ac:dyDescent="0.3">
      <c r="A5" s="324" t="s">
        <v>11</v>
      </c>
      <c r="B5" s="432" t="s">
        <v>324</v>
      </c>
      <c r="C5" s="433" t="s">
        <v>325</v>
      </c>
      <c r="D5" s="433" t="s">
        <v>326</v>
      </c>
      <c r="E5" s="433" t="s">
        <v>327</v>
      </c>
      <c r="F5" s="434" t="s">
        <v>328</v>
      </c>
    </row>
    <row r="6" spans="1:9" s="25" customFormat="1" ht="15.75" x14ac:dyDescent="0.25">
      <c r="A6" s="286">
        <v>2004</v>
      </c>
      <c r="B6" s="201">
        <v>16.100000000000001</v>
      </c>
      <c r="C6" s="202">
        <v>11.9</v>
      </c>
      <c r="D6" s="202">
        <v>9.6999999999999993</v>
      </c>
      <c r="E6" s="202">
        <v>5.7</v>
      </c>
      <c r="F6" s="203">
        <v>5.5</v>
      </c>
    </row>
    <row r="7" spans="1:9" s="25" customFormat="1" ht="15.75" x14ac:dyDescent="0.25">
      <c r="A7" s="286">
        <v>2005</v>
      </c>
      <c r="B7" s="201">
        <v>16.7</v>
      </c>
      <c r="C7" s="202">
        <v>18.2</v>
      </c>
      <c r="D7" s="202">
        <v>12.8</v>
      </c>
      <c r="E7" s="202">
        <v>13.6</v>
      </c>
      <c r="F7" s="203">
        <v>9.5</v>
      </c>
      <c r="H7" s="248"/>
      <c r="I7" s="248"/>
    </row>
    <row r="8" spans="1:9" s="25" customFormat="1" ht="15.75" x14ac:dyDescent="0.25">
      <c r="A8" s="286">
        <v>2006</v>
      </c>
      <c r="B8" s="201">
        <v>32.9</v>
      </c>
      <c r="C8" s="202">
        <v>19.8</v>
      </c>
      <c r="D8" s="202">
        <v>16.100000000000001</v>
      </c>
      <c r="E8" s="202">
        <v>15.5</v>
      </c>
      <c r="F8" s="203">
        <v>8.9</v>
      </c>
    </row>
    <row r="9" spans="1:9" s="25" customFormat="1" ht="15.75" x14ac:dyDescent="0.25">
      <c r="A9" s="286">
        <v>2007</v>
      </c>
      <c r="B9" s="201">
        <v>30.9</v>
      </c>
      <c r="C9" s="202">
        <v>20.9</v>
      </c>
      <c r="D9" s="202">
        <v>12.3</v>
      </c>
      <c r="E9" s="202">
        <v>7.9</v>
      </c>
      <c r="F9" s="203">
        <v>7.4</v>
      </c>
    </row>
    <row r="10" spans="1:9" s="25" customFormat="1" ht="15.75" x14ac:dyDescent="0.25">
      <c r="A10" s="286">
        <v>2008</v>
      </c>
      <c r="B10" s="201">
        <v>30.5</v>
      </c>
      <c r="C10" s="202">
        <v>19.5</v>
      </c>
      <c r="D10" s="202">
        <v>14.9</v>
      </c>
      <c r="E10" s="202">
        <v>11</v>
      </c>
      <c r="F10" s="203">
        <v>12.7</v>
      </c>
    </row>
    <row r="11" spans="1:9" s="25" customFormat="1" ht="15.75" x14ac:dyDescent="0.25">
      <c r="A11" s="286">
        <v>2009</v>
      </c>
      <c r="B11" s="201">
        <v>29.5</v>
      </c>
      <c r="C11" s="202">
        <v>16.3</v>
      </c>
      <c r="D11" s="202">
        <v>18.899999999999999</v>
      </c>
      <c r="E11" s="202">
        <v>9.9</v>
      </c>
      <c r="F11" s="203">
        <v>6.7</v>
      </c>
    </row>
    <row r="12" spans="1:9" s="25" customFormat="1" ht="15.75" x14ac:dyDescent="0.25">
      <c r="A12" s="286">
        <v>2010</v>
      </c>
      <c r="B12" s="201">
        <v>30.4</v>
      </c>
      <c r="C12" s="202">
        <v>20.8</v>
      </c>
      <c r="D12" s="202">
        <v>17.100000000000001</v>
      </c>
      <c r="E12" s="202">
        <v>16.5</v>
      </c>
      <c r="F12" s="203">
        <v>12.4</v>
      </c>
    </row>
    <row r="13" spans="1:9" s="25" customFormat="1" ht="15.75" x14ac:dyDescent="0.25">
      <c r="A13" s="286">
        <v>2011</v>
      </c>
      <c r="B13" s="201">
        <v>32.200000000000003</v>
      </c>
      <c r="C13" s="202">
        <v>17.8</v>
      </c>
      <c r="D13" s="202">
        <v>16.600000000000001</v>
      </c>
      <c r="E13" s="202">
        <v>11.9</v>
      </c>
      <c r="F13" s="203">
        <v>11</v>
      </c>
    </row>
    <row r="14" spans="1:9" s="25" customFormat="1" ht="15.75" x14ac:dyDescent="0.25">
      <c r="A14" s="286">
        <v>2012</v>
      </c>
      <c r="B14" s="201">
        <v>30.7</v>
      </c>
      <c r="C14" s="202">
        <v>15.7</v>
      </c>
      <c r="D14" s="202">
        <v>15.1</v>
      </c>
      <c r="E14" s="202">
        <v>14.2</v>
      </c>
      <c r="F14" s="203">
        <v>10.8</v>
      </c>
    </row>
    <row r="15" spans="1:9" s="25" customFormat="1" ht="15.75" x14ac:dyDescent="0.25">
      <c r="A15" s="286">
        <v>2013</v>
      </c>
      <c r="B15" s="201">
        <v>32.700000000000003</v>
      </c>
      <c r="C15" s="202">
        <v>20.7</v>
      </c>
      <c r="D15" s="202">
        <v>14.7</v>
      </c>
      <c r="E15" s="202">
        <v>18</v>
      </c>
      <c r="F15" s="203">
        <v>9.6999999999999993</v>
      </c>
    </row>
    <row r="16" spans="1:9" s="25" customFormat="1" ht="16.5" thickBot="1" x14ac:dyDescent="0.3">
      <c r="A16" s="287">
        <v>2014</v>
      </c>
      <c r="B16" s="204">
        <v>24.3</v>
      </c>
      <c r="C16" s="205">
        <v>19.899999999999999</v>
      </c>
      <c r="D16" s="205">
        <v>16.2</v>
      </c>
      <c r="E16" s="205">
        <v>11.8</v>
      </c>
      <c r="F16" s="206">
        <v>9.6999999999999993</v>
      </c>
    </row>
    <row r="17" spans="1:6" s="25" customFormat="1" ht="15.75" x14ac:dyDescent="0.25">
      <c r="A17" s="275">
        <v>2015</v>
      </c>
      <c r="B17" s="207">
        <v>20.8</v>
      </c>
      <c r="C17" s="208">
        <v>13.9</v>
      </c>
      <c r="D17" s="208">
        <v>10.6</v>
      </c>
      <c r="E17" s="208">
        <v>13.3</v>
      </c>
      <c r="F17" s="209">
        <v>8.9</v>
      </c>
    </row>
    <row r="18" spans="1:6" s="25" customFormat="1" ht="15.75" x14ac:dyDescent="0.25">
      <c r="A18" s="275">
        <v>2016</v>
      </c>
      <c r="B18" s="207">
        <v>23.2</v>
      </c>
      <c r="C18" s="208">
        <v>13.1</v>
      </c>
      <c r="D18" s="208">
        <v>8.6999999999999993</v>
      </c>
      <c r="E18" s="208">
        <v>7.1</v>
      </c>
      <c r="F18" s="209">
        <v>8.1</v>
      </c>
    </row>
    <row r="19" spans="1:6" s="25" customFormat="1" ht="15.75" x14ac:dyDescent="0.25">
      <c r="A19" s="275">
        <v>2017</v>
      </c>
      <c r="B19" s="207">
        <v>19.5</v>
      </c>
      <c r="C19" s="208">
        <v>15</v>
      </c>
      <c r="D19" s="208">
        <v>9</v>
      </c>
      <c r="E19" s="208">
        <v>10.7</v>
      </c>
      <c r="F19" s="209">
        <v>7</v>
      </c>
    </row>
    <row r="20" spans="1:6" s="25" customFormat="1" ht="15.75" x14ac:dyDescent="0.25">
      <c r="A20" s="275">
        <v>2018</v>
      </c>
      <c r="B20" s="207">
        <v>22.7</v>
      </c>
      <c r="C20" s="208">
        <v>16.3</v>
      </c>
      <c r="D20" s="208">
        <v>13.9</v>
      </c>
      <c r="E20" s="208">
        <v>11.1</v>
      </c>
      <c r="F20" s="209">
        <v>7.9</v>
      </c>
    </row>
    <row r="21" spans="1:6" s="25" customFormat="1" ht="15.75" x14ac:dyDescent="0.25">
      <c r="A21" s="275">
        <v>2019</v>
      </c>
      <c r="B21" s="207">
        <v>18.600000000000001</v>
      </c>
      <c r="C21" s="208">
        <v>14.3</v>
      </c>
      <c r="D21" s="208">
        <v>11.4</v>
      </c>
      <c r="E21" s="208">
        <v>7.5</v>
      </c>
      <c r="F21" s="209">
        <v>10.9</v>
      </c>
    </row>
    <row r="22" spans="1:6" s="25" customFormat="1" ht="17.100000000000001" customHeight="1" x14ac:dyDescent="0.25">
      <c r="A22" s="275">
        <v>2020</v>
      </c>
      <c r="B22" s="207">
        <v>19.7</v>
      </c>
      <c r="C22" s="208">
        <v>14.6</v>
      </c>
      <c r="D22" s="208">
        <v>9.8000000000000007</v>
      </c>
      <c r="E22" s="208">
        <v>11.5</v>
      </c>
      <c r="F22" s="209">
        <v>10.8</v>
      </c>
    </row>
    <row r="23" spans="1:6" s="25" customFormat="1" ht="17.100000000000001" customHeight="1" x14ac:dyDescent="0.25">
      <c r="A23" s="275">
        <v>2021</v>
      </c>
      <c r="B23" s="71" t="s">
        <v>14</v>
      </c>
      <c r="C23" s="72" t="s">
        <v>14</v>
      </c>
      <c r="D23" s="72" t="s">
        <v>14</v>
      </c>
      <c r="E23" s="72" t="s">
        <v>14</v>
      </c>
      <c r="F23" s="73" t="s">
        <v>14</v>
      </c>
    </row>
    <row r="24" spans="1:6" s="25" customFormat="1" ht="15.75" x14ac:dyDescent="0.25">
      <c r="A24" s="275">
        <v>2022</v>
      </c>
      <c r="B24" s="71" t="s">
        <v>14</v>
      </c>
      <c r="C24" s="72" t="s">
        <v>14</v>
      </c>
      <c r="D24" s="72" t="s">
        <v>14</v>
      </c>
      <c r="E24" s="72" t="s">
        <v>14</v>
      </c>
      <c r="F24" s="73" t="s">
        <v>14</v>
      </c>
    </row>
    <row r="25" spans="1:6" s="25" customFormat="1" ht="15.75" x14ac:dyDescent="0.25">
      <c r="A25" s="276">
        <v>2023</v>
      </c>
      <c r="B25" s="71" t="s">
        <v>14</v>
      </c>
      <c r="C25" s="72" t="s">
        <v>14</v>
      </c>
      <c r="D25" s="72" t="s">
        <v>14</v>
      </c>
      <c r="E25" s="72" t="s">
        <v>14</v>
      </c>
      <c r="F25" s="73" t="s">
        <v>14</v>
      </c>
    </row>
    <row r="26" spans="1:6" ht="15.75" x14ac:dyDescent="0.25">
      <c r="A26" s="275">
        <v>2024</v>
      </c>
      <c r="B26" s="74" t="s">
        <v>14</v>
      </c>
      <c r="C26" s="75" t="s">
        <v>14</v>
      </c>
      <c r="D26" s="75" t="s">
        <v>14</v>
      </c>
      <c r="E26" s="75" t="s">
        <v>14</v>
      </c>
      <c r="F26" s="76" t="s">
        <v>14</v>
      </c>
    </row>
    <row r="33" spans="7:7" x14ac:dyDescent="0.25">
      <c r="G33" s="106"/>
    </row>
  </sheetData>
  <hyperlinks>
    <hyperlink ref="A4" location="'Table List'!A1" display="Table list" xr:uid="{B7620195-DCF9-45FC-B095-144A8D86D3A1}"/>
    <hyperlink ref="A3" location="Notes!A1" display="Notes" xr:uid="{CF84274E-9565-4BD3-9154-7DB8173B9EE2}"/>
  </hyperlinks>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D6621-57B4-43C2-96E1-CFB1A087845C}">
  <sheetPr>
    <tabColor theme="3" tint="0.79998168889431442"/>
  </sheetPr>
  <dimension ref="A1:I20"/>
  <sheetViews>
    <sheetView showGridLines="0" workbookViewId="0"/>
  </sheetViews>
  <sheetFormatPr defaultRowHeight="12.75" x14ac:dyDescent="0.2"/>
  <sheetData>
    <row r="1" spans="1:9" ht="19.5" x14ac:dyDescent="0.3">
      <c r="A1" s="13" t="s">
        <v>283</v>
      </c>
    </row>
    <row r="2" spans="1:9" ht="15.75" x14ac:dyDescent="0.25">
      <c r="A2" s="97" t="s">
        <v>307</v>
      </c>
      <c r="B2" s="94"/>
      <c r="C2" s="95"/>
      <c r="D2" s="95"/>
      <c r="E2" s="95"/>
      <c r="F2" s="95"/>
      <c r="G2" s="95"/>
    </row>
    <row r="3" spans="1:9" ht="15.75" x14ac:dyDescent="0.25">
      <c r="A3" s="98" t="s">
        <v>197</v>
      </c>
      <c r="B3" s="94"/>
      <c r="C3" s="95"/>
      <c r="D3" s="95"/>
      <c r="E3" s="95"/>
      <c r="F3" s="95"/>
      <c r="G3" s="95"/>
      <c r="H3" s="92"/>
      <c r="I3" s="96"/>
    </row>
    <row r="13" spans="1:9" ht="25.5" x14ac:dyDescent="0.35">
      <c r="A13" s="107"/>
    </row>
    <row r="20" spans="2:2" x14ac:dyDescent="0.2">
      <c r="B20" s="223"/>
    </row>
  </sheetData>
  <hyperlinks>
    <hyperlink ref="A3" location="'Table List'!A1" display="Table list" xr:uid="{7BBEF8F3-0B15-4E0A-A074-532EF918E6EB}"/>
    <hyperlink ref="A2" location="Notes!A1" display="Notes" xr:uid="{4737B751-FD01-4EDD-8319-BFE19289BA4C}"/>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61F92-361B-420A-8642-29D11D8140C2}">
  <sheetPr>
    <tabColor theme="3" tint="0.79998168889431442"/>
  </sheetPr>
  <dimension ref="A1:W16"/>
  <sheetViews>
    <sheetView showGridLines="0" workbookViewId="0"/>
  </sheetViews>
  <sheetFormatPr defaultColWidth="9.42578125" defaultRowHeight="12.75" x14ac:dyDescent="0.2"/>
  <cols>
    <col min="1" max="1" width="8.5703125" style="3" customWidth="1"/>
    <col min="2" max="2" width="19.5703125" style="1" customWidth="1"/>
    <col min="3" max="11" width="6.85546875" customWidth="1"/>
    <col min="12" max="15" width="6.85546875" style="4" customWidth="1"/>
    <col min="16" max="23" width="6.85546875" customWidth="1"/>
  </cols>
  <sheetData>
    <row r="1" spans="1:23" ht="19.5" x14ac:dyDescent="0.3">
      <c r="A1" s="12" t="s">
        <v>308</v>
      </c>
      <c r="B1" s="7"/>
      <c r="C1" s="7"/>
      <c r="D1" s="7"/>
      <c r="E1" s="7"/>
      <c r="F1" s="7"/>
      <c r="G1" s="7"/>
      <c r="H1" s="7"/>
      <c r="I1" s="7"/>
      <c r="L1"/>
      <c r="M1"/>
      <c r="N1"/>
      <c r="O1" s="31"/>
    </row>
    <row r="2" spans="1:23" ht="15.75" x14ac:dyDescent="0.25">
      <c r="A2" s="97" t="s">
        <v>196</v>
      </c>
      <c r="B2" s="94"/>
      <c r="C2" s="95"/>
      <c r="D2" s="95"/>
      <c r="E2" s="95"/>
      <c r="G2" s="96"/>
      <c r="L2"/>
      <c r="M2"/>
      <c r="N2"/>
      <c r="O2"/>
    </row>
    <row r="3" spans="1:23" ht="16.5" thickBot="1" x14ac:dyDescent="0.3">
      <c r="A3" s="98" t="s">
        <v>197</v>
      </c>
      <c r="B3" s="94"/>
      <c r="C3" s="95"/>
      <c r="D3" s="95"/>
      <c r="E3" s="95"/>
      <c r="F3" s="92"/>
      <c r="G3" s="96"/>
      <c r="L3"/>
      <c r="M3"/>
      <c r="N3"/>
      <c r="O3"/>
    </row>
    <row r="4" spans="1:23" ht="16.5" thickBot="1" x14ac:dyDescent="0.3">
      <c r="A4" s="325" t="s">
        <v>126</v>
      </c>
      <c r="B4" s="274" t="s">
        <v>157</v>
      </c>
      <c r="C4" s="374" t="s">
        <v>48</v>
      </c>
      <c r="D4" s="375" t="s">
        <v>49</v>
      </c>
      <c r="E4" s="375" t="s">
        <v>50</v>
      </c>
      <c r="F4" s="375" t="s">
        <v>51</v>
      </c>
      <c r="G4" s="375" t="s">
        <v>52</v>
      </c>
      <c r="H4" s="375" t="s">
        <v>62</v>
      </c>
      <c r="I4" s="375" t="s">
        <v>63</v>
      </c>
      <c r="J4" s="375" t="s">
        <v>64</v>
      </c>
      <c r="K4" s="375" t="s">
        <v>65</v>
      </c>
      <c r="L4" s="375" t="s">
        <v>66</v>
      </c>
      <c r="M4" s="376" t="s">
        <v>67</v>
      </c>
      <c r="N4" s="362" t="s">
        <v>76</v>
      </c>
      <c r="O4" s="363" t="s">
        <v>77</v>
      </c>
      <c r="P4" s="363" t="s">
        <v>78</v>
      </c>
      <c r="Q4" s="363" t="s">
        <v>79</v>
      </c>
      <c r="R4" s="363" t="s">
        <v>68</v>
      </c>
      <c r="S4" s="363" t="s">
        <v>83</v>
      </c>
      <c r="T4" s="363" t="s">
        <v>145</v>
      </c>
      <c r="U4" s="363" t="s">
        <v>163</v>
      </c>
      <c r="V4" s="363" t="s">
        <v>201</v>
      </c>
      <c r="W4" s="364" t="s">
        <v>228</v>
      </c>
    </row>
    <row r="5" spans="1:23" ht="15.75" x14ac:dyDescent="0.25">
      <c r="A5" s="280" t="s">
        <v>121</v>
      </c>
      <c r="B5" s="219" t="s">
        <v>121</v>
      </c>
      <c r="C5" s="377">
        <v>146</v>
      </c>
      <c r="D5" s="143">
        <v>223</v>
      </c>
      <c r="E5" s="143">
        <v>291</v>
      </c>
      <c r="F5" s="143">
        <v>242</v>
      </c>
      <c r="G5" s="143">
        <v>282</v>
      </c>
      <c r="H5" s="143">
        <v>260</v>
      </c>
      <c r="I5" s="143">
        <v>313</v>
      </c>
      <c r="J5" s="143">
        <v>289</v>
      </c>
      <c r="K5" s="143">
        <v>278</v>
      </c>
      <c r="L5" s="143">
        <v>303</v>
      </c>
      <c r="M5" s="144">
        <v>268</v>
      </c>
      <c r="N5" s="365">
        <v>220</v>
      </c>
      <c r="O5" s="84">
        <v>195</v>
      </c>
      <c r="P5" s="84">
        <v>199</v>
      </c>
      <c r="Q5" s="84">
        <v>236</v>
      </c>
      <c r="R5" s="84">
        <v>205</v>
      </c>
      <c r="S5" s="84">
        <v>219</v>
      </c>
      <c r="T5" s="84">
        <v>237</v>
      </c>
      <c r="U5" s="83">
        <v>203</v>
      </c>
      <c r="V5" s="83">
        <v>221</v>
      </c>
      <c r="W5" s="366">
        <v>290</v>
      </c>
    </row>
    <row r="6" spans="1:23" ht="13.5" customHeight="1" x14ac:dyDescent="0.25">
      <c r="A6" s="135" t="s">
        <v>121</v>
      </c>
      <c r="B6" s="218" t="s">
        <v>119</v>
      </c>
      <c r="C6" s="378">
        <v>80</v>
      </c>
      <c r="D6" s="141">
        <v>111</v>
      </c>
      <c r="E6" s="141">
        <v>160</v>
      </c>
      <c r="F6" s="141">
        <v>135</v>
      </c>
      <c r="G6" s="141">
        <v>170</v>
      </c>
      <c r="H6" s="141">
        <v>158</v>
      </c>
      <c r="I6" s="141">
        <v>193</v>
      </c>
      <c r="J6" s="141">
        <v>177</v>
      </c>
      <c r="K6" s="141">
        <v>159</v>
      </c>
      <c r="L6" s="141">
        <v>172</v>
      </c>
      <c r="M6" s="147">
        <v>153</v>
      </c>
      <c r="N6" s="212">
        <v>155</v>
      </c>
      <c r="O6" s="58">
        <v>130</v>
      </c>
      <c r="P6" s="58">
        <v>144</v>
      </c>
      <c r="Q6" s="58">
        <v>131</v>
      </c>
      <c r="R6" s="58">
        <v>136</v>
      </c>
      <c r="S6" s="164">
        <v>149</v>
      </c>
      <c r="T6" s="164">
        <v>160</v>
      </c>
      <c r="U6" s="168">
        <v>144</v>
      </c>
      <c r="V6" s="168">
        <v>163</v>
      </c>
      <c r="W6" s="367">
        <v>201</v>
      </c>
    </row>
    <row r="7" spans="1:23" ht="13.5" customHeight="1" x14ac:dyDescent="0.25">
      <c r="A7" s="135" t="s">
        <v>121</v>
      </c>
      <c r="B7" s="218" t="s">
        <v>147</v>
      </c>
      <c r="C7" s="378">
        <v>31</v>
      </c>
      <c r="D7" s="141">
        <v>49</v>
      </c>
      <c r="E7" s="141">
        <v>70</v>
      </c>
      <c r="F7" s="141">
        <v>53</v>
      </c>
      <c r="G7" s="141">
        <v>56</v>
      </c>
      <c r="H7" s="141">
        <v>54</v>
      </c>
      <c r="I7" s="141">
        <v>64</v>
      </c>
      <c r="J7" s="141">
        <v>73</v>
      </c>
      <c r="K7" s="141">
        <v>74</v>
      </c>
      <c r="L7" s="141">
        <v>75</v>
      </c>
      <c r="M7" s="147">
        <v>74</v>
      </c>
      <c r="N7" s="212">
        <v>29</v>
      </c>
      <c r="O7" s="58">
        <v>22</v>
      </c>
      <c r="P7" s="58">
        <v>24</v>
      </c>
      <c r="Q7" s="58">
        <v>62</v>
      </c>
      <c r="R7" s="58">
        <v>46</v>
      </c>
      <c r="S7" s="164">
        <v>34</v>
      </c>
      <c r="T7" s="164">
        <v>42</v>
      </c>
      <c r="U7" s="168">
        <v>27</v>
      </c>
      <c r="V7" s="168">
        <v>20</v>
      </c>
      <c r="W7" s="367">
        <v>37</v>
      </c>
    </row>
    <row r="8" spans="1:23" ht="13.5" customHeight="1" x14ac:dyDescent="0.25">
      <c r="A8" s="474" t="s">
        <v>121</v>
      </c>
      <c r="B8" s="264" t="s">
        <v>120</v>
      </c>
      <c r="C8" s="379">
        <v>35</v>
      </c>
      <c r="D8" s="188">
        <v>63</v>
      </c>
      <c r="E8" s="188">
        <v>61</v>
      </c>
      <c r="F8" s="188">
        <v>54</v>
      </c>
      <c r="G8" s="188">
        <v>56</v>
      </c>
      <c r="H8" s="188">
        <v>48</v>
      </c>
      <c r="I8" s="188">
        <v>56</v>
      </c>
      <c r="J8" s="188">
        <v>39</v>
      </c>
      <c r="K8" s="188">
        <v>45</v>
      </c>
      <c r="L8" s="188">
        <v>56</v>
      </c>
      <c r="M8" s="191">
        <v>41</v>
      </c>
      <c r="N8" s="255">
        <v>36</v>
      </c>
      <c r="O8" s="189">
        <v>43</v>
      </c>
      <c r="P8" s="189">
        <v>31</v>
      </c>
      <c r="Q8" s="189">
        <v>43</v>
      </c>
      <c r="R8" s="189">
        <v>23</v>
      </c>
      <c r="S8" s="166">
        <v>36</v>
      </c>
      <c r="T8" s="166">
        <v>35</v>
      </c>
      <c r="U8" s="193">
        <v>32</v>
      </c>
      <c r="V8" s="193">
        <v>38</v>
      </c>
      <c r="W8" s="368">
        <v>52</v>
      </c>
    </row>
    <row r="9" spans="1:23" ht="13.5" customHeight="1" x14ac:dyDescent="0.25">
      <c r="A9" s="280" t="s">
        <v>12</v>
      </c>
      <c r="B9" s="219" t="s">
        <v>121</v>
      </c>
      <c r="C9" s="377">
        <v>105</v>
      </c>
      <c r="D9" s="143">
        <v>167</v>
      </c>
      <c r="E9" s="143">
        <v>227</v>
      </c>
      <c r="F9" s="143">
        <v>175</v>
      </c>
      <c r="G9" s="143">
        <v>218</v>
      </c>
      <c r="H9" s="143">
        <v>205</v>
      </c>
      <c r="I9" s="143">
        <v>240</v>
      </c>
      <c r="J9" s="143">
        <v>216</v>
      </c>
      <c r="K9" s="143">
        <v>215</v>
      </c>
      <c r="L9" s="143">
        <v>229</v>
      </c>
      <c r="M9" s="144">
        <v>207</v>
      </c>
      <c r="N9" s="365">
        <v>173</v>
      </c>
      <c r="O9" s="84">
        <v>149</v>
      </c>
      <c r="P9" s="84">
        <v>151</v>
      </c>
      <c r="Q9" s="84">
        <v>176</v>
      </c>
      <c r="R9" s="84">
        <v>155</v>
      </c>
      <c r="S9" s="84">
        <v>160</v>
      </c>
      <c r="T9" s="84">
        <v>176</v>
      </c>
      <c r="U9" s="83">
        <v>156</v>
      </c>
      <c r="V9" s="83">
        <v>171</v>
      </c>
      <c r="W9" s="366">
        <v>230</v>
      </c>
    </row>
    <row r="10" spans="1:23" ht="13.5" customHeight="1" x14ac:dyDescent="0.25">
      <c r="A10" s="135" t="s">
        <v>12</v>
      </c>
      <c r="B10" s="218" t="s">
        <v>119</v>
      </c>
      <c r="C10" s="378">
        <v>62</v>
      </c>
      <c r="D10" s="141">
        <v>96</v>
      </c>
      <c r="E10" s="141">
        <v>138</v>
      </c>
      <c r="F10" s="141">
        <v>110</v>
      </c>
      <c r="G10" s="141">
        <v>141</v>
      </c>
      <c r="H10" s="141">
        <v>133</v>
      </c>
      <c r="I10" s="141">
        <v>149</v>
      </c>
      <c r="J10" s="141">
        <v>144</v>
      </c>
      <c r="K10" s="141">
        <v>133</v>
      </c>
      <c r="L10" s="141">
        <v>135</v>
      </c>
      <c r="M10" s="147">
        <v>126</v>
      </c>
      <c r="N10" s="212">
        <v>124</v>
      </c>
      <c r="O10" s="58">
        <v>101</v>
      </c>
      <c r="P10" s="58">
        <v>110</v>
      </c>
      <c r="Q10" s="58">
        <v>103</v>
      </c>
      <c r="R10" s="58">
        <v>114</v>
      </c>
      <c r="S10" s="164">
        <v>113</v>
      </c>
      <c r="T10" s="164">
        <v>119</v>
      </c>
      <c r="U10" s="168">
        <v>113</v>
      </c>
      <c r="V10" s="168">
        <v>126</v>
      </c>
      <c r="W10" s="367">
        <v>166</v>
      </c>
    </row>
    <row r="11" spans="1:23" ht="13.5" customHeight="1" x14ac:dyDescent="0.25">
      <c r="A11" s="135" t="s">
        <v>12</v>
      </c>
      <c r="B11" s="218" t="s">
        <v>147</v>
      </c>
      <c r="C11" s="378">
        <v>16</v>
      </c>
      <c r="D11" s="141">
        <v>26</v>
      </c>
      <c r="E11" s="141">
        <v>40</v>
      </c>
      <c r="F11" s="141">
        <v>27</v>
      </c>
      <c r="G11" s="141">
        <v>34</v>
      </c>
      <c r="H11" s="141">
        <v>29</v>
      </c>
      <c r="I11" s="141">
        <v>46</v>
      </c>
      <c r="J11" s="141">
        <v>42</v>
      </c>
      <c r="K11" s="141">
        <v>46</v>
      </c>
      <c r="L11" s="141">
        <v>45</v>
      </c>
      <c r="M11" s="147">
        <v>44</v>
      </c>
      <c r="N11" s="212">
        <v>18</v>
      </c>
      <c r="O11" s="58">
        <v>14</v>
      </c>
      <c r="P11" s="58">
        <v>14</v>
      </c>
      <c r="Q11" s="58">
        <v>37</v>
      </c>
      <c r="R11" s="58">
        <v>22</v>
      </c>
      <c r="S11" s="164">
        <v>19</v>
      </c>
      <c r="T11" s="164">
        <v>31</v>
      </c>
      <c r="U11" s="168">
        <v>14</v>
      </c>
      <c r="V11" s="168">
        <v>14</v>
      </c>
      <c r="W11" s="367">
        <v>21</v>
      </c>
    </row>
    <row r="12" spans="1:23" ht="13.5" customHeight="1" x14ac:dyDescent="0.25">
      <c r="A12" s="474" t="s">
        <v>12</v>
      </c>
      <c r="B12" s="264" t="s">
        <v>120</v>
      </c>
      <c r="C12" s="379">
        <v>27</v>
      </c>
      <c r="D12" s="188">
        <v>45</v>
      </c>
      <c r="E12" s="188">
        <v>49</v>
      </c>
      <c r="F12" s="188">
        <v>38</v>
      </c>
      <c r="G12" s="188">
        <v>43</v>
      </c>
      <c r="H12" s="188">
        <v>43</v>
      </c>
      <c r="I12" s="188">
        <v>45</v>
      </c>
      <c r="J12" s="188">
        <v>30</v>
      </c>
      <c r="K12" s="188">
        <v>36</v>
      </c>
      <c r="L12" s="188">
        <v>49</v>
      </c>
      <c r="M12" s="191">
        <v>37</v>
      </c>
      <c r="N12" s="255">
        <v>31</v>
      </c>
      <c r="O12" s="189">
        <v>34</v>
      </c>
      <c r="P12" s="189">
        <v>27</v>
      </c>
      <c r="Q12" s="189">
        <v>36</v>
      </c>
      <c r="R12" s="189">
        <v>19</v>
      </c>
      <c r="S12" s="166">
        <v>28</v>
      </c>
      <c r="T12" s="166">
        <v>26</v>
      </c>
      <c r="U12" s="193">
        <v>29</v>
      </c>
      <c r="V12" s="193">
        <v>31</v>
      </c>
      <c r="W12" s="368">
        <v>43</v>
      </c>
    </row>
    <row r="13" spans="1:23" ht="13.5" customHeight="1" x14ac:dyDescent="0.25">
      <c r="A13" s="280" t="s">
        <v>13</v>
      </c>
      <c r="B13" s="219" t="s">
        <v>121</v>
      </c>
      <c r="C13" s="377">
        <v>41</v>
      </c>
      <c r="D13" s="143">
        <v>46</v>
      </c>
      <c r="E13" s="143">
        <v>64</v>
      </c>
      <c r="F13" s="143">
        <v>67</v>
      </c>
      <c r="G13" s="143">
        <v>64</v>
      </c>
      <c r="H13" s="143">
        <v>55</v>
      </c>
      <c r="I13" s="143">
        <v>73</v>
      </c>
      <c r="J13" s="143">
        <v>73</v>
      </c>
      <c r="K13" s="143">
        <v>63</v>
      </c>
      <c r="L13" s="143">
        <v>74</v>
      </c>
      <c r="M13" s="144">
        <v>61</v>
      </c>
      <c r="N13" s="365">
        <v>47</v>
      </c>
      <c r="O13" s="84">
        <v>46</v>
      </c>
      <c r="P13" s="84">
        <v>48</v>
      </c>
      <c r="Q13" s="84">
        <v>60</v>
      </c>
      <c r="R13" s="84">
        <v>50</v>
      </c>
      <c r="S13" s="84">
        <v>59</v>
      </c>
      <c r="T13" s="84">
        <v>61</v>
      </c>
      <c r="U13" s="83">
        <v>47</v>
      </c>
      <c r="V13" s="83">
        <v>50</v>
      </c>
      <c r="W13" s="366">
        <v>60</v>
      </c>
    </row>
    <row r="14" spans="1:23" ht="13.5" customHeight="1" x14ac:dyDescent="0.25">
      <c r="A14" s="135" t="s">
        <v>13</v>
      </c>
      <c r="B14" s="218" t="s">
        <v>119</v>
      </c>
      <c r="C14" s="378">
        <v>18</v>
      </c>
      <c r="D14" s="141">
        <v>15</v>
      </c>
      <c r="E14" s="141">
        <v>22</v>
      </c>
      <c r="F14" s="141">
        <v>25</v>
      </c>
      <c r="G14" s="141">
        <v>29</v>
      </c>
      <c r="H14" s="141">
        <v>25</v>
      </c>
      <c r="I14" s="141">
        <v>44</v>
      </c>
      <c r="J14" s="141">
        <v>33</v>
      </c>
      <c r="K14" s="141">
        <v>26</v>
      </c>
      <c r="L14" s="141">
        <v>37</v>
      </c>
      <c r="M14" s="147">
        <v>27</v>
      </c>
      <c r="N14" s="212">
        <v>31</v>
      </c>
      <c r="O14" s="58">
        <v>29</v>
      </c>
      <c r="P14" s="58">
        <v>34</v>
      </c>
      <c r="Q14" s="58">
        <v>28</v>
      </c>
      <c r="R14" s="58">
        <v>22</v>
      </c>
      <c r="S14" s="164">
        <v>36</v>
      </c>
      <c r="T14" s="164">
        <v>41</v>
      </c>
      <c r="U14" s="168">
        <v>31</v>
      </c>
      <c r="V14" s="168">
        <v>37</v>
      </c>
      <c r="W14" s="367">
        <v>35</v>
      </c>
    </row>
    <row r="15" spans="1:23" ht="13.5" customHeight="1" x14ac:dyDescent="0.25">
      <c r="A15" s="135" t="s">
        <v>13</v>
      </c>
      <c r="B15" s="218" t="s">
        <v>147</v>
      </c>
      <c r="C15" s="378">
        <v>15</v>
      </c>
      <c r="D15" s="141">
        <v>23</v>
      </c>
      <c r="E15" s="141">
        <v>30</v>
      </c>
      <c r="F15" s="141">
        <v>26</v>
      </c>
      <c r="G15" s="141">
        <v>22</v>
      </c>
      <c r="H15" s="141">
        <v>25</v>
      </c>
      <c r="I15" s="141">
        <v>18</v>
      </c>
      <c r="J15" s="141">
        <v>31</v>
      </c>
      <c r="K15" s="141">
        <v>28</v>
      </c>
      <c r="L15" s="141">
        <v>30</v>
      </c>
      <c r="M15" s="147">
        <v>30</v>
      </c>
      <c r="N15" s="212">
        <v>11</v>
      </c>
      <c r="O15" s="58">
        <v>8</v>
      </c>
      <c r="P15" s="58">
        <v>10</v>
      </c>
      <c r="Q15" s="58">
        <v>25</v>
      </c>
      <c r="R15" s="58">
        <v>24</v>
      </c>
      <c r="S15" s="164">
        <v>15</v>
      </c>
      <c r="T15" s="164">
        <v>11</v>
      </c>
      <c r="U15" s="168">
        <v>13</v>
      </c>
      <c r="V15" s="168">
        <v>6</v>
      </c>
      <c r="W15" s="367">
        <v>16</v>
      </c>
    </row>
    <row r="16" spans="1:23" ht="13.5" customHeight="1" thickBot="1" x14ac:dyDescent="0.3">
      <c r="A16" s="135" t="s">
        <v>13</v>
      </c>
      <c r="B16" s="218" t="s">
        <v>120</v>
      </c>
      <c r="C16" s="380">
        <v>8</v>
      </c>
      <c r="D16" s="142">
        <v>8</v>
      </c>
      <c r="E16" s="142">
        <v>12</v>
      </c>
      <c r="F16" s="142">
        <v>16</v>
      </c>
      <c r="G16" s="142">
        <v>13</v>
      </c>
      <c r="H16" s="142">
        <v>5</v>
      </c>
      <c r="I16" s="142">
        <v>11</v>
      </c>
      <c r="J16" s="142">
        <v>9</v>
      </c>
      <c r="K16" s="142">
        <v>9</v>
      </c>
      <c r="L16" s="142">
        <v>7</v>
      </c>
      <c r="M16" s="150">
        <v>4</v>
      </c>
      <c r="N16" s="369">
        <v>5</v>
      </c>
      <c r="O16" s="370">
        <v>9</v>
      </c>
      <c r="P16" s="370">
        <v>4</v>
      </c>
      <c r="Q16" s="370">
        <v>7</v>
      </c>
      <c r="R16" s="370">
        <v>4</v>
      </c>
      <c r="S16" s="371">
        <v>8</v>
      </c>
      <c r="T16" s="371">
        <v>9</v>
      </c>
      <c r="U16" s="372">
        <v>3</v>
      </c>
      <c r="V16" s="372">
        <v>7</v>
      </c>
      <c r="W16" s="373">
        <v>9</v>
      </c>
    </row>
  </sheetData>
  <phoneticPr fontId="63" type="noConversion"/>
  <hyperlinks>
    <hyperlink ref="A3" location="'Table List'!A1" display="Table list" xr:uid="{63292529-BF29-4262-9439-F80F6636BEA8}"/>
    <hyperlink ref="A2" location="Notes!A1" display="Notes" xr:uid="{C65ACFCE-6424-4771-B8F7-543AA595819D}"/>
  </hyperlinks>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27B0A-E3BA-43AF-9484-D993EA2E71E7}">
  <sheetPr>
    <tabColor theme="3" tint="0.79998168889431442"/>
  </sheetPr>
  <dimension ref="A1:I25"/>
  <sheetViews>
    <sheetView showGridLines="0" workbookViewId="0"/>
  </sheetViews>
  <sheetFormatPr defaultRowHeight="12.75" x14ac:dyDescent="0.2"/>
  <sheetData>
    <row r="1" spans="1:9" ht="19.5" x14ac:dyDescent="0.3">
      <c r="A1" s="12" t="s">
        <v>309</v>
      </c>
    </row>
    <row r="2" spans="1:9" ht="15.75" x14ac:dyDescent="0.25">
      <c r="A2" s="97" t="s">
        <v>287</v>
      </c>
      <c r="B2" s="94"/>
      <c r="C2" s="95"/>
      <c r="D2" s="95"/>
      <c r="E2" s="95"/>
      <c r="F2" s="95"/>
      <c r="G2" s="95"/>
    </row>
    <row r="3" spans="1:9" ht="15.75" x14ac:dyDescent="0.25">
      <c r="A3" s="98" t="s">
        <v>197</v>
      </c>
      <c r="B3" s="94"/>
      <c r="C3" s="95"/>
      <c r="D3" s="95"/>
      <c r="E3" s="95"/>
      <c r="F3" s="95"/>
      <c r="G3" s="95"/>
      <c r="H3" s="92"/>
      <c r="I3" s="96"/>
    </row>
    <row r="24" spans="1:3" x14ac:dyDescent="0.2">
      <c r="A24" s="47"/>
    </row>
    <row r="25" spans="1:3" x14ac:dyDescent="0.2">
      <c r="C25" s="47"/>
    </row>
  </sheetData>
  <hyperlinks>
    <hyperlink ref="A3" location="'Table List'!A1" display="Table list" xr:uid="{1DBF2EBA-B118-4255-AC89-B421B484B849}"/>
    <hyperlink ref="A2" location="Notes!A1" display="Notes" xr:uid="{8FF03000-2375-443E-A114-0CDAFB63CB75}"/>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tint="0.79998168889431442"/>
  </sheetPr>
  <dimension ref="A1:P55"/>
  <sheetViews>
    <sheetView showGridLines="0" workbookViewId="0">
      <pane ySplit="5" topLeftCell="A6" activePane="bottomLeft" state="frozen"/>
      <selection activeCell="G18" sqref="G18:G19"/>
      <selection pane="bottomLeft"/>
    </sheetView>
  </sheetViews>
  <sheetFormatPr defaultColWidth="9.42578125" defaultRowHeight="12.75" x14ac:dyDescent="0.2"/>
  <cols>
    <col min="1" max="1" width="17.42578125" style="3" customWidth="1"/>
    <col min="2" max="2" width="19.5703125" style="1" customWidth="1"/>
    <col min="3" max="3" width="8.5703125" customWidth="1"/>
    <col min="4" max="4" width="7.85546875" style="4" customWidth="1"/>
    <col min="5" max="7" width="8.42578125" style="4" customWidth="1"/>
    <col min="8" max="8" width="7.5703125" customWidth="1"/>
    <col min="9" max="10" width="8.42578125" customWidth="1"/>
    <col min="11" max="11" width="7.5703125" customWidth="1"/>
    <col min="12" max="12" width="7.42578125" customWidth="1"/>
    <col min="13" max="13" width="7.5703125" customWidth="1"/>
    <col min="14" max="14" width="8.42578125" customWidth="1"/>
    <col min="15" max="15" width="7.5703125" customWidth="1"/>
    <col min="16" max="16" width="7.42578125" customWidth="1"/>
  </cols>
  <sheetData>
    <row r="1" spans="1:16" ht="19.5" x14ac:dyDescent="0.3">
      <c r="A1" s="12" t="s">
        <v>310</v>
      </c>
      <c r="B1" s="7"/>
      <c r="C1" s="7"/>
      <c r="D1" s="7"/>
      <c r="E1" s="7"/>
      <c r="F1" s="7"/>
      <c r="G1" s="7"/>
      <c r="H1" s="7"/>
      <c r="I1" s="7"/>
      <c r="J1" s="7"/>
      <c r="K1" s="7"/>
      <c r="L1" s="7"/>
      <c r="M1" s="7"/>
      <c r="O1" s="31"/>
    </row>
    <row r="2" spans="1:16" ht="15.75" x14ac:dyDescent="0.25">
      <c r="A2" s="93" t="s">
        <v>195</v>
      </c>
      <c r="B2" s="94"/>
      <c r="C2" s="95"/>
      <c r="D2" s="95"/>
      <c r="E2" s="95"/>
      <c r="F2" s="95"/>
      <c r="G2" s="95"/>
      <c r="I2" s="96"/>
    </row>
    <row r="3" spans="1:16" ht="15.75" x14ac:dyDescent="0.25">
      <c r="A3" s="97" t="s">
        <v>196</v>
      </c>
      <c r="B3" s="94"/>
      <c r="C3" s="95"/>
      <c r="D3" s="95"/>
      <c r="E3" s="95"/>
      <c r="F3" s="95"/>
      <c r="G3" s="95"/>
      <c r="I3" s="96"/>
    </row>
    <row r="4" spans="1:16" ht="16.5" thickBot="1" x14ac:dyDescent="0.3">
      <c r="A4" s="98" t="s">
        <v>197</v>
      </c>
      <c r="B4" s="94"/>
      <c r="C4" s="95"/>
      <c r="D4" s="95"/>
      <c r="E4" s="95"/>
      <c r="F4" s="95"/>
      <c r="G4" s="95"/>
      <c r="H4" s="92"/>
      <c r="I4" s="96"/>
    </row>
    <row r="5" spans="1:16" ht="16.5" thickBot="1" x14ac:dyDescent="0.3">
      <c r="A5" s="156" t="s">
        <v>11</v>
      </c>
      <c r="B5" s="332" t="s">
        <v>157</v>
      </c>
      <c r="C5" s="331" t="s">
        <v>16</v>
      </c>
      <c r="D5" s="435" t="s">
        <v>131</v>
      </c>
      <c r="E5" s="435" t="s">
        <v>0</v>
      </c>
      <c r="F5" s="435" t="s">
        <v>1</v>
      </c>
      <c r="G5" s="435" t="s">
        <v>2</v>
      </c>
      <c r="H5" s="435" t="s">
        <v>3</v>
      </c>
      <c r="I5" s="435" t="s">
        <v>4</v>
      </c>
      <c r="J5" s="435" t="s">
        <v>5</v>
      </c>
      <c r="K5" s="435" t="s">
        <v>6</v>
      </c>
      <c r="L5" s="435" t="s">
        <v>7</v>
      </c>
      <c r="M5" s="435" t="s">
        <v>8</v>
      </c>
      <c r="N5" s="435" t="s">
        <v>9</v>
      </c>
      <c r="O5" s="435" t="s">
        <v>10</v>
      </c>
      <c r="P5" s="436" t="s">
        <v>132</v>
      </c>
    </row>
    <row r="6" spans="1:16" ht="13.5" customHeight="1" x14ac:dyDescent="0.25">
      <c r="A6" s="409">
        <v>2015</v>
      </c>
      <c r="B6" s="292" t="s">
        <v>121</v>
      </c>
      <c r="C6" s="293">
        <v>220</v>
      </c>
      <c r="D6" s="313">
        <v>14</v>
      </c>
      <c r="E6" s="313">
        <v>22</v>
      </c>
      <c r="F6" s="313">
        <v>29</v>
      </c>
      <c r="G6" s="313">
        <v>21</v>
      </c>
      <c r="H6" s="313">
        <v>15</v>
      </c>
      <c r="I6" s="313">
        <v>21</v>
      </c>
      <c r="J6" s="313">
        <v>27</v>
      </c>
      <c r="K6" s="313">
        <v>20</v>
      </c>
      <c r="L6" s="313">
        <v>22</v>
      </c>
      <c r="M6" s="313">
        <v>9</v>
      </c>
      <c r="N6" s="313">
        <v>11</v>
      </c>
      <c r="O6" s="313">
        <v>4</v>
      </c>
      <c r="P6" s="413">
        <v>5</v>
      </c>
    </row>
    <row r="7" spans="1:16" ht="13.5" customHeight="1" x14ac:dyDescent="0.25">
      <c r="A7" s="465">
        <v>2015</v>
      </c>
      <c r="B7" s="295" t="s">
        <v>119</v>
      </c>
      <c r="C7" s="296">
        <v>155</v>
      </c>
      <c r="D7" s="308">
        <v>10</v>
      </c>
      <c r="E7" s="297">
        <v>18</v>
      </c>
      <c r="F7" s="308">
        <v>22</v>
      </c>
      <c r="G7" s="308">
        <v>13</v>
      </c>
      <c r="H7" s="308">
        <v>11</v>
      </c>
      <c r="I7" s="308">
        <v>13</v>
      </c>
      <c r="J7" s="308">
        <v>19</v>
      </c>
      <c r="K7" s="297">
        <v>12</v>
      </c>
      <c r="L7" s="297">
        <v>15</v>
      </c>
      <c r="M7" s="309">
        <v>8</v>
      </c>
      <c r="N7" s="297">
        <v>8</v>
      </c>
      <c r="O7" s="297">
        <v>4</v>
      </c>
      <c r="P7" s="308">
        <v>2</v>
      </c>
    </row>
    <row r="8" spans="1:16" ht="13.5" customHeight="1" x14ac:dyDescent="0.25">
      <c r="A8" s="465">
        <v>2015</v>
      </c>
      <c r="B8" s="295" t="s">
        <v>147</v>
      </c>
      <c r="C8" s="296">
        <v>29</v>
      </c>
      <c r="D8" s="308">
        <v>1</v>
      </c>
      <c r="E8" s="297">
        <v>3</v>
      </c>
      <c r="F8" s="308">
        <v>2</v>
      </c>
      <c r="G8" s="308">
        <v>5</v>
      </c>
      <c r="H8" s="308">
        <v>2</v>
      </c>
      <c r="I8" s="308">
        <v>4</v>
      </c>
      <c r="J8" s="308">
        <v>4</v>
      </c>
      <c r="K8" s="297">
        <v>4</v>
      </c>
      <c r="L8" s="297">
        <v>3</v>
      </c>
      <c r="M8" s="309">
        <v>0</v>
      </c>
      <c r="N8" s="297">
        <v>1</v>
      </c>
      <c r="O8" s="297">
        <v>0</v>
      </c>
      <c r="P8" s="308">
        <v>0</v>
      </c>
    </row>
    <row r="9" spans="1:16" ht="13.5" customHeight="1" x14ac:dyDescent="0.25">
      <c r="A9" s="465">
        <v>2015</v>
      </c>
      <c r="B9" s="300" t="s">
        <v>120</v>
      </c>
      <c r="C9" s="301">
        <v>36</v>
      </c>
      <c r="D9" s="326">
        <v>3</v>
      </c>
      <c r="E9" s="302">
        <v>1</v>
      </c>
      <c r="F9" s="326">
        <v>5</v>
      </c>
      <c r="G9" s="326">
        <v>3</v>
      </c>
      <c r="H9" s="326">
        <v>2</v>
      </c>
      <c r="I9" s="326">
        <v>4</v>
      </c>
      <c r="J9" s="326">
        <v>4</v>
      </c>
      <c r="K9" s="302">
        <v>4</v>
      </c>
      <c r="L9" s="302">
        <v>4</v>
      </c>
      <c r="M9" s="327">
        <v>1</v>
      </c>
      <c r="N9" s="302">
        <v>2</v>
      </c>
      <c r="O9" s="302">
        <v>0</v>
      </c>
      <c r="P9" s="326">
        <v>3</v>
      </c>
    </row>
    <row r="10" spans="1:16" ht="13.5" customHeight="1" x14ac:dyDescent="0.25">
      <c r="A10" s="318">
        <v>2016</v>
      </c>
      <c r="B10" s="305" t="s">
        <v>121</v>
      </c>
      <c r="C10" s="310">
        <v>195</v>
      </c>
      <c r="D10" s="307">
        <v>10</v>
      </c>
      <c r="E10" s="307">
        <v>26</v>
      </c>
      <c r="F10" s="307">
        <v>17</v>
      </c>
      <c r="G10" s="307">
        <v>22</v>
      </c>
      <c r="H10" s="307">
        <v>15</v>
      </c>
      <c r="I10" s="307">
        <v>17</v>
      </c>
      <c r="J10" s="307">
        <v>16</v>
      </c>
      <c r="K10" s="307">
        <v>25</v>
      </c>
      <c r="L10" s="307">
        <v>21</v>
      </c>
      <c r="M10" s="307">
        <v>8</v>
      </c>
      <c r="N10" s="307">
        <v>7</v>
      </c>
      <c r="O10" s="307">
        <v>4</v>
      </c>
      <c r="P10" s="333">
        <v>7</v>
      </c>
    </row>
    <row r="11" spans="1:16" ht="13.5" customHeight="1" x14ac:dyDescent="0.25">
      <c r="A11" s="465">
        <v>2016</v>
      </c>
      <c r="B11" s="295" t="s">
        <v>119</v>
      </c>
      <c r="C11" s="296">
        <v>130</v>
      </c>
      <c r="D11" s="308">
        <v>9</v>
      </c>
      <c r="E11" s="297">
        <v>20</v>
      </c>
      <c r="F11" s="308">
        <v>13</v>
      </c>
      <c r="G11" s="308">
        <v>20</v>
      </c>
      <c r="H11" s="308">
        <v>10</v>
      </c>
      <c r="I11" s="308">
        <v>10</v>
      </c>
      <c r="J11" s="308">
        <v>8</v>
      </c>
      <c r="K11" s="297">
        <v>18</v>
      </c>
      <c r="L11" s="297">
        <v>12</v>
      </c>
      <c r="M11" s="309">
        <v>3</v>
      </c>
      <c r="N11" s="297">
        <v>4</v>
      </c>
      <c r="O11" s="297">
        <v>2</v>
      </c>
      <c r="P11" s="308">
        <v>1</v>
      </c>
    </row>
    <row r="12" spans="1:16" ht="13.5" customHeight="1" x14ac:dyDescent="0.25">
      <c r="A12" s="465">
        <v>2016</v>
      </c>
      <c r="B12" s="295" t="s">
        <v>147</v>
      </c>
      <c r="C12" s="296">
        <v>22</v>
      </c>
      <c r="D12" s="308">
        <v>1</v>
      </c>
      <c r="E12" s="297">
        <v>4</v>
      </c>
      <c r="F12" s="308">
        <v>2</v>
      </c>
      <c r="G12" s="308">
        <v>0</v>
      </c>
      <c r="H12" s="308">
        <v>1</v>
      </c>
      <c r="I12" s="308">
        <v>4</v>
      </c>
      <c r="J12" s="308">
        <v>5</v>
      </c>
      <c r="K12" s="297">
        <v>2</v>
      </c>
      <c r="L12" s="297">
        <v>1</v>
      </c>
      <c r="M12" s="309">
        <v>0</v>
      </c>
      <c r="N12" s="297">
        <v>0</v>
      </c>
      <c r="O12" s="297">
        <v>1</v>
      </c>
      <c r="P12" s="308">
        <v>1</v>
      </c>
    </row>
    <row r="13" spans="1:16" ht="13.5" customHeight="1" x14ac:dyDescent="0.25">
      <c r="A13" s="465">
        <v>2016</v>
      </c>
      <c r="B13" s="300" t="s">
        <v>120</v>
      </c>
      <c r="C13" s="301">
        <v>43</v>
      </c>
      <c r="D13" s="326">
        <v>0</v>
      </c>
      <c r="E13" s="302">
        <v>2</v>
      </c>
      <c r="F13" s="326">
        <v>2</v>
      </c>
      <c r="G13" s="326">
        <v>2</v>
      </c>
      <c r="H13" s="326">
        <v>4</v>
      </c>
      <c r="I13" s="326">
        <v>3</v>
      </c>
      <c r="J13" s="326">
        <v>3</v>
      </c>
      <c r="K13" s="302">
        <v>5</v>
      </c>
      <c r="L13" s="302">
        <v>8</v>
      </c>
      <c r="M13" s="327">
        <v>5</v>
      </c>
      <c r="N13" s="302">
        <v>3</v>
      </c>
      <c r="O13" s="302">
        <v>1</v>
      </c>
      <c r="P13" s="326">
        <v>5</v>
      </c>
    </row>
    <row r="14" spans="1:16" ht="13.5" customHeight="1" x14ac:dyDescent="0.25">
      <c r="A14" s="318">
        <v>2017</v>
      </c>
      <c r="B14" s="305" t="s">
        <v>121</v>
      </c>
      <c r="C14" s="310">
        <v>199</v>
      </c>
      <c r="D14" s="307">
        <v>9</v>
      </c>
      <c r="E14" s="307">
        <v>23</v>
      </c>
      <c r="F14" s="307">
        <v>18</v>
      </c>
      <c r="G14" s="307">
        <v>18</v>
      </c>
      <c r="H14" s="307">
        <v>25</v>
      </c>
      <c r="I14" s="307">
        <v>21</v>
      </c>
      <c r="J14" s="307">
        <v>24</v>
      </c>
      <c r="K14" s="307">
        <v>27</v>
      </c>
      <c r="L14" s="307">
        <v>12</v>
      </c>
      <c r="M14" s="307">
        <v>10</v>
      </c>
      <c r="N14" s="307">
        <v>4</v>
      </c>
      <c r="O14" s="307">
        <v>4</v>
      </c>
      <c r="P14" s="333">
        <v>4</v>
      </c>
    </row>
    <row r="15" spans="1:16" ht="13.5" customHeight="1" x14ac:dyDescent="0.25">
      <c r="A15" s="465">
        <v>2017</v>
      </c>
      <c r="B15" s="295" t="s">
        <v>119</v>
      </c>
      <c r="C15" s="296">
        <v>144</v>
      </c>
      <c r="D15" s="308">
        <v>7</v>
      </c>
      <c r="E15" s="297">
        <v>21</v>
      </c>
      <c r="F15" s="308">
        <v>16</v>
      </c>
      <c r="G15" s="308">
        <v>16</v>
      </c>
      <c r="H15" s="308">
        <v>17</v>
      </c>
      <c r="I15" s="308">
        <v>19</v>
      </c>
      <c r="J15" s="308">
        <v>12</v>
      </c>
      <c r="K15" s="297">
        <v>19</v>
      </c>
      <c r="L15" s="297">
        <v>6</v>
      </c>
      <c r="M15" s="309">
        <v>3</v>
      </c>
      <c r="N15" s="297">
        <v>2</v>
      </c>
      <c r="O15" s="297">
        <v>4</v>
      </c>
      <c r="P15" s="308">
        <v>2</v>
      </c>
    </row>
    <row r="16" spans="1:16" ht="13.5" customHeight="1" x14ac:dyDescent="0.25">
      <c r="A16" s="465">
        <v>2017</v>
      </c>
      <c r="B16" s="295" t="s">
        <v>147</v>
      </c>
      <c r="C16" s="296">
        <v>24</v>
      </c>
      <c r="D16" s="308">
        <v>0</v>
      </c>
      <c r="E16" s="297">
        <v>0</v>
      </c>
      <c r="F16" s="308">
        <v>1</v>
      </c>
      <c r="G16" s="308">
        <v>1</v>
      </c>
      <c r="H16" s="308">
        <v>4</v>
      </c>
      <c r="I16" s="308">
        <v>1</v>
      </c>
      <c r="J16" s="308">
        <v>7</v>
      </c>
      <c r="K16" s="297">
        <v>5</v>
      </c>
      <c r="L16" s="297">
        <v>3</v>
      </c>
      <c r="M16" s="309">
        <v>2</v>
      </c>
      <c r="N16" s="297">
        <v>0</v>
      </c>
      <c r="O16" s="297">
        <v>0</v>
      </c>
      <c r="P16" s="308">
        <v>0</v>
      </c>
    </row>
    <row r="17" spans="1:16" ht="13.5" customHeight="1" x14ac:dyDescent="0.25">
      <c r="A17" s="465">
        <v>2017</v>
      </c>
      <c r="B17" s="300" t="s">
        <v>120</v>
      </c>
      <c r="C17" s="301">
        <v>31</v>
      </c>
      <c r="D17" s="326">
        <v>2</v>
      </c>
      <c r="E17" s="302">
        <v>2</v>
      </c>
      <c r="F17" s="326">
        <v>1</v>
      </c>
      <c r="G17" s="326">
        <v>1</v>
      </c>
      <c r="H17" s="326">
        <v>4</v>
      </c>
      <c r="I17" s="326">
        <v>1</v>
      </c>
      <c r="J17" s="326">
        <v>5</v>
      </c>
      <c r="K17" s="302">
        <v>3</v>
      </c>
      <c r="L17" s="302">
        <v>3</v>
      </c>
      <c r="M17" s="327">
        <v>5</v>
      </c>
      <c r="N17" s="302">
        <v>2</v>
      </c>
      <c r="O17" s="302">
        <v>0</v>
      </c>
      <c r="P17" s="326">
        <v>2</v>
      </c>
    </row>
    <row r="18" spans="1:16" ht="15.75" x14ac:dyDescent="0.25">
      <c r="A18" s="318">
        <v>2018</v>
      </c>
      <c r="B18" s="305" t="s">
        <v>121</v>
      </c>
      <c r="C18" s="310">
        <v>236</v>
      </c>
      <c r="D18" s="307">
        <v>12</v>
      </c>
      <c r="E18" s="307">
        <v>17</v>
      </c>
      <c r="F18" s="307">
        <v>28</v>
      </c>
      <c r="G18" s="307">
        <v>33</v>
      </c>
      <c r="H18" s="307">
        <v>19</v>
      </c>
      <c r="I18" s="307">
        <v>31</v>
      </c>
      <c r="J18" s="307">
        <v>26</v>
      </c>
      <c r="K18" s="307">
        <v>19</v>
      </c>
      <c r="L18" s="307">
        <v>20</v>
      </c>
      <c r="M18" s="307">
        <v>9</v>
      </c>
      <c r="N18" s="307">
        <v>12</v>
      </c>
      <c r="O18" s="307">
        <v>6</v>
      </c>
      <c r="P18" s="333">
        <v>4</v>
      </c>
    </row>
    <row r="19" spans="1:16" ht="15.75" x14ac:dyDescent="0.25">
      <c r="A19" s="465">
        <v>2018</v>
      </c>
      <c r="B19" s="295" t="s">
        <v>119</v>
      </c>
      <c r="C19" s="296">
        <v>131</v>
      </c>
      <c r="D19" s="308">
        <v>11</v>
      </c>
      <c r="E19" s="297">
        <v>10</v>
      </c>
      <c r="F19" s="308">
        <v>17</v>
      </c>
      <c r="G19" s="308">
        <v>13</v>
      </c>
      <c r="H19" s="308">
        <v>13</v>
      </c>
      <c r="I19" s="308">
        <v>15</v>
      </c>
      <c r="J19" s="308">
        <v>17</v>
      </c>
      <c r="K19" s="297">
        <v>10</v>
      </c>
      <c r="L19" s="297">
        <v>10</v>
      </c>
      <c r="M19" s="309">
        <v>5</v>
      </c>
      <c r="N19" s="297">
        <v>6</v>
      </c>
      <c r="O19" s="297">
        <v>3</v>
      </c>
      <c r="P19" s="308">
        <v>1</v>
      </c>
    </row>
    <row r="20" spans="1:16" ht="15.75" x14ac:dyDescent="0.25">
      <c r="A20" s="465">
        <v>2018</v>
      </c>
      <c r="B20" s="295" t="s">
        <v>147</v>
      </c>
      <c r="C20" s="296">
        <v>62</v>
      </c>
      <c r="D20" s="308">
        <v>1</v>
      </c>
      <c r="E20" s="297">
        <v>4</v>
      </c>
      <c r="F20" s="308">
        <v>6</v>
      </c>
      <c r="G20" s="308">
        <v>16</v>
      </c>
      <c r="H20" s="308">
        <v>5</v>
      </c>
      <c r="I20" s="308">
        <v>13</v>
      </c>
      <c r="J20" s="308">
        <v>5</v>
      </c>
      <c r="K20" s="297">
        <v>4</v>
      </c>
      <c r="L20" s="297">
        <v>3</v>
      </c>
      <c r="M20" s="309">
        <v>1</v>
      </c>
      <c r="N20" s="297">
        <v>1</v>
      </c>
      <c r="O20" s="297">
        <v>2</v>
      </c>
      <c r="P20" s="308">
        <v>1</v>
      </c>
    </row>
    <row r="21" spans="1:16" ht="15.75" x14ac:dyDescent="0.25">
      <c r="A21" s="465">
        <v>2018</v>
      </c>
      <c r="B21" s="300" t="s">
        <v>120</v>
      </c>
      <c r="C21" s="296">
        <v>43</v>
      </c>
      <c r="D21" s="326">
        <v>0</v>
      </c>
      <c r="E21" s="302">
        <v>3</v>
      </c>
      <c r="F21" s="326">
        <v>5</v>
      </c>
      <c r="G21" s="326">
        <v>4</v>
      </c>
      <c r="H21" s="326">
        <v>1</v>
      </c>
      <c r="I21" s="326">
        <v>3</v>
      </c>
      <c r="J21" s="326">
        <v>4</v>
      </c>
      <c r="K21" s="302">
        <v>5</v>
      </c>
      <c r="L21" s="302">
        <v>7</v>
      </c>
      <c r="M21" s="327">
        <v>3</v>
      </c>
      <c r="N21" s="302">
        <v>5</v>
      </c>
      <c r="O21" s="302">
        <v>1</v>
      </c>
      <c r="P21" s="326">
        <v>2</v>
      </c>
    </row>
    <row r="22" spans="1:16" ht="15.75" x14ac:dyDescent="0.25">
      <c r="A22" s="318">
        <v>2019</v>
      </c>
      <c r="B22" s="305" t="s">
        <v>121</v>
      </c>
      <c r="C22" s="310">
        <v>205</v>
      </c>
      <c r="D22" s="307">
        <v>14</v>
      </c>
      <c r="E22" s="307">
        <v>13</v>
      </c>
      <c r="F22" s="307">
        <v>18</v>
      </c>
      <c r="G22" s="307">
        <v>24</v>
      </c>
      <c r="H22" s="307">
        <v>29</v>
      </c>
      <c r="I22" s="307">
        <v>15</v>
      </c>
      <c r="J22" s="307">
        <v>24</v>
      </c>
      <c r="K22" s="307">
        <v>26</v>
      </c>
      <c r="L22" s="307">
        <v>15</v>
      </c>
      <c r="M22" s="307">
        <v>6</v>
      </c>
      <c r="N22" s="307">
        <v>10</v>
      </c>
      <c r="O22" s="307">
        <v>8</v>
      </c>
      <c r="P22" s="333">
        <v>3</v>
      </c>
    </row>
    <row r="23" spans="1:16" ht="15.75" x14ac:dyDescent="0.25">
      <c r="A23" s="465">
        <v>2019</v>
      </c>
      <c r="B23" s="295" t="s">
        <v>119</v>
      </c>
      <c r="C23" s="296">
        <v>136</v>
      </c>
      <c r="D23" s="308">
        <v>11</v>
      </c>
      <c r="E23" s="297">
        <v>10</v>
      </c>
      <c r="F23" s="308">
        <v>16</v>
      </c>
      <c r="G23" s="308">
        <v>16</v>
      </c>
      <c r="H23" s="308">
        <v>19</v>
      </c>
      <c r="I23" s="308">
        <v>8</v>
      </c>
      <c r="J23" s="308">
        <v>18</v>
      </c>
      <c r="K23" s="297">
        <v>17</v>
      </c>
      <c r="L23" s="297">
        <v>7</v>
      </c>
      <c r="M23" s="309">
        <v>5</v>
      </c>
      <c r="N23" s="297">
        <v>5</v>
      </c>
      <c r="O23" s="297">
        <v>3</v>
      </c>
      <c r="P23" s="308">
        <v>1</v>
      </c>
    </row>
    <row r="24" spans="1:16" ht="15.75" x14ac:dyDescent="0.25">
      <c r="A24" s="465">
        <v>2019</v>
      </c>
      <c r="B24" s="295" t="s">
        <v>147</v>
      </c>
      <c r="C24" s="296">
        <v>46</v>
      </c>
      <c r="D24" s="308">
        <v>1</v>
      </c>
      <c r="E24" s="297">
        <v>1</v>
      </c>
      <c r="F24" s="308">
        <v>2</v>
      </c>
      <c r="G24" s="308">
        <v>5</v>
      </c>
      <c r="H24" s="308">
        <v>7</v>
      </c>
      <c r="I24" s="308">
        <v>7</v>
      </c>
      <c r="J24" s="308">
        <v>4</v>
      </c>
      <c r="K24" s="297">
        <v>5</v>
      </c>
      <c r="L24" s="297">
        <v>5</v>
      </c>
      <c r="M24" s="309">
        <v>1</v>
      </c>
      <c r="N24" s="297">
        <v>3</v>
      </c>
      <c r="O24" s="297">
        <v>3</v>
      </c>
      <c r="P24" s="308">
        <v>2</v>
      </c>
    </row>
    <row r="25" spans="1:16" ht="15.75" x14ac:dyDescent="0.25">
      <c r="A25" s="465">
        <v>2019</v>
      </c>
      <c r="B25" s="295" t="s">
        <v>120</v>
      </c>
      <c r="C25" s="296">
        <v>23</v>
      </c>
      <c r="D25" s="308">
        <v>2</v>
      </c>
      <c r="E25" s="297">
        <v>2</v>
      </c>
      <c r="F25" s="308">
        <v>0</v>
      </c>
      <c r="G25" s="308">
        <v>3</v>
      </c>
      <c r="H25" s="308">
        <v>3</v>
      </c>
      <c r="I25" s="308"/>
      <c r="J25" s="308">
        <v>2</v>
      </c>
      <c r="K25" s="297">
        <v>4</v>
      </c>
      <c r="L25" s="297">
        <v>3</v>
      </c>
      <c r="M25" s="309">
        <v>0</v>
      </c>
      <c r="N25" s="297">
        <v>2</v>
      </c>
      <c r="O25" s="297">
        <v>2</v>
      </c>
      <c r="P25" s="308">
        <v>0</v>
      </c>
    </row>
    <row r="26" spans="1:16" ht="15.75" x14ac:dyDescent="0.25">
      <c r="A26" s="318">
        <v>2020</v>
      </c>
      <c r="B26" s="305" t="s">
        <v>121</v>
      </c>
      <c r="C26" s="310">
        <v>219</v>
      </c>
      <c r="D26" s="307">
        <v>4</v>
      </c>
      <c r="E26" s="307">
        <v>15</v>
      </c>
      <c r="F26" s="307">
        <v>17</v>
      </c>
      <c r="G26" s="307">
        <v>29</v>
      </c>
      <c r="H26" s="307">
        <v>24</v>
      </c>
      <c r="I26" s="307">
        <v>32</v>
      </c>
      <c r="J26" s="307">
        <v>21</v>
      </c>
      <c r="K26" s="307">
        <v>14</v>
      </c>
      <c r="L26" s="307">
        <v>20</v>
      </c>
      <c r="M26" s="307">
        <v>16</v>
      </c>
      <c r="N26" s="307">
        <v>15</v>
      </c>
      <c r="O26" s="307">
        <v>5</v>
      </c>
      <c r="P26" s="333">
        <v>7</v>
      </c>
    </row>
    <row r="27" spans="1:16" ht="15.75" x14ac:dyDescent="0.25">
      <c r="A27" s="465">
        <v>2020</v>
      </c>
      <c r="B27" s="295" t="s">
        <v>119</v>
      </c>
      <c r="C27" s="296">
        <v>149</v>
      </c>
      <c r="D27" s="297">
        <v>2</v>
      </c>
      <c r="E27" s="297">
        <v>14</v>
      </c>
      <c r="F27" s="297">
        <v>13</v>
      </c>
      <c r="G27" s="297">
        <v>24</v>
      </c>
      <c r="H27" s="297">
        <v>15</v>
      </c>
      <c r="I27" s="297">
        <v>23</v>
      </c>
      <c r="J27" s="297">
        <v>13</v>
      </c>
      <c r="K27" s="297">
        <v>8</v>
      </c>
      <c r="L27" s="299">
        <v>13</v>
      </c>
      <c r="M27" s="298">
        <v>9</v>
      </c>
      <c r="N27" s="299">
        <v>10</v>
      </c>
      <c r="O27" s="299">
        <v>2</v>
      </c>
      <c r="P27" s="410">
        <v>3</v>
      </c>
    </row>
    <row r="28" spans="1:16" ht="15.75" x14ac:dyDescent="0.25">
      <c r="A28" s="465">
        <v>2020</v>
      </c>
      <c r="B28" s="295" t="s">
        <v>147</v>
      </c>
      <c r="C28" s="296">
        <v>34</v>
      </c>
      <c r="D28" s="297">
        <v>2</v>
      </c>
      <c r="E28" s="297">
        <v>1</v>
      </c>
      <c r="F28" s="297">
        <v>3</v>
      </c>
      <c r="G28" s="297">
        <v>3</v>
      </c>
      <c r="H28" s="297">
        <v>5</v>
      </c>
      <c r="I28" s="297">
        <v>5</v>
      </c>
      <c r="J28" s="297">
        <v>4</v>
      </c>
      <c r="K28" s="297">
        <v>3</v>
      </c>
      <c r="L28" s="299">
        <v>3</v>
      </c>
      <c r="M28" s="298">
        <v>2</v>
      </c>
      <c r="N28" s="299">
        <v>1</v>
      </c>
      <c r="O28" s="299">
        <v>0</v>
      </c>
      <c r="P28" s="410">
        <v>2</v>
      </c>
    </row>
    <row r="29" spans="1:16" ht="15.75" x14ac:dyDescent="0.25">
      <c r="A29" s="475">
        <v>2020</v>
      </c>
      <c r="B29" s="300" t="s">
        <v>120</v>
      </c>
      <c r="C29" s="312">
        <v>36</v>
      </c>
      <c r="D29" s="302">
        <v>0</v>
      </c>
      <c r="E29" s="302">
        <v>0</v>
      </c>
      <c r="F29" s="302">
        <v>1</v>
      </c>
      <c r="G29" s="302">
        <v>2</v>
      </c>
      <c r="H29" s="302">
        <v>4</v>
      </c>
      <c r="I29" s="302">
        <v>4</v>
      </c>
      <c r="J29" s="302">
        <v>4</v>
      </c>
      <c r="K29" s="302">
        <v>3</v>
      </c>
      <c r="L29" s="304">
        <v>4</v>
      </c>
      <c r="M29" s="303">
        <v>5</v>
      </c>
      <c r="N29" s="304">
        <v>4</v>
      </c>
      <c r="O29" s="304">
        <v>3</v>
      </c>
      <c r="P29" s="411">
        <v>2</v>
      </c>
    </row>
    <row r="30" spans="1:16" s="15" customFormat="1" ht="15.75" x14ac:dyDescent="0.25">
      <c r="A30" s="409">
        <v>2021</v>
      </c>
      <c r="B30" s="305" t="s">
        <v>121</v>
      </c>
      <c r="C30" s="310">
        <v>237</v>
      </c>
      <c r="D30" s="307">
        <v>16</v>
      </c>
      <c r="E30" s="307">
        <v>30</v>
      </c>
      <c r="F30" s="307">
        <v>29</v>
      </c>
      <c r="G30" s="307">
        <v>21</v>
      </c>
      <c r="H30" s="307">
        <v>26</v>
      </c>
      <c r="I30" s="307">
        <v>20</v>
      </c>
      <c r="J30" s="307">
        <v>26</v>
      </c>
      <c r="K30" s="307">
        <v>25</v>
      </c>
      <c r="L30" s="307">
        <v>15</v>
      </c>
      <c r="M30" s="307">
        <v>8</v>
      </c>
      <c r="N30" s="307">
        <v>10</v>
      </c>
      <c r="O30" s="307">
        <v>6</v>
      </c>
      <c r="P30" s="333">
        <v>5</v>
      </c>
    </row>
    <row r="31" spans="1:16" ht="15.75" x14ac:dyDescent="0.25">
      <c r="A31" s="465">
        <v>2021</v>
      </c>
      <c r="B31" s="295" t="s">
        <v>119</v>
      </c>
      <c r="C31" s="296">
        <v>160</v>
      </c>
      <c r="D31" s="308">
        <v>14</v>
      </c>
      <c r="E31" s="297">
        <v>24</v>
      </c>
      <c r="F31" s="308">
        <v>19</v>
      </c>
      <c r="G31" s="308">
        <v>15</v>
      </c>
      <c r="H31" s="308">
        <v>17</v>
      </c>
      <c r="I31" s="308">
        <v>13</v>
      </c>
      <c r="J31" s="308">
        <v>14</v>
      </c>
      <c r="K31" s="297">
        <v>14</v>
      </c>
      <c r="L31" s="297">
        <v>11</v>
      </c>
      <c r="M31" s="309">
        <v>5</v>
      </c>
      <c r="N31" s="297">
        <v>6</v>
      </c>
      <c r="O31" s="297">
        <v>4</v>
      </c>
      <c r="P31" s="308">
        <v>4</v>
      </c>
    </row>
    <row r="32" spans="1:16" ht="15.75" x14ac:dyDescent="0.25">
      <c r="A32" s="465">
        <v>2021</v>
      </c>
      <c r="B32" s="295" t="s">
        <v>147</v>
      </c>
      <c r="C32" s="296">
        <v>42</v>
      </c>
      <c r="D32" s="308">
        <v>0</v>
      </c>
      <c r="E32" s="297">
        <v>4</v>
      </c>
      <c r="F32" s="308">
        <v>7</v>
      </c>
      <c r="G32" s="308">
        <v>2</v>
      </c>
      <c r="H32" s="308">
        <v>8</v>
      </c>
      <c r="I32" s="308">
        <v>4</v>
      </c>
      <c r="J32" s="308">
        <v>8</v>
      </c>
      <c r="K32" s="297">
        <v>7</v>
      </c>
      <c r="L32" s="297">
        <v>0</v>
      </c>
      <c r="M32" s="309">
        <v>2</v>
      </c>
      <c r="N32" s="297">
        <v>0</v>
      </c>
      <c r="O32" s="297">
        <v>0</v>
      </c>
      <c r="P32" s="308">
        <v>0</v>
      </c>
    </row>
    <row r="33" spans="1:16" ht="15.75" x14ac:dyDescent="0.25">
      <c r="A33" s="465">
        <v>2021</v>
      </c>
      <c r="B33" s="295" t="s">
        <v>120</v>
      </c>
      <c r="C33" s="296">
        <v>35</v>
      </c>
      <c r="D33" s="308">
        <v>2</v>
      </c>
      <c r="E33" s="297">
        <v>2</v>
      </c>
      <c r="F33" s="308">
        <v>3</v>
      </c>
      <c r="G33" s="308">
        <v>4</v>
      </c>
      <c r="H33" s="308">
        <v>1</v>
      </c>
      <c r="I33" s="308">
        <v>3</v>
      </c>
      <c r="J33" s="308">
        <v>4</v>
      </c>
      <c r="K33" s="297">
        <v>4</v>
      </c>
      <c r="L33" s="297">
        <v>4</v>
      </c>
      <c r="M33" s="309">
        <v>1</v>
      </c>
      <c r="N33" s="297">
        <v>4</v>
      </c>
      <c r="O33" s="297">
        <v>2</v>
      </c>
      <c r="P33" s="308">
        <v>1</v>
      </c>
    </row>
    <row r="34" spans="1:16" s="28" customFormat="1" ht="15.75" x14ac:dyDescent="0.25">
      <c r="A34" s="318">
        <v>2022</v>
      </c>
      <c r="B34" s="305" t="s">
        <v>121</v>
      </c>
      <c r="C34" s="310">
        <v>203</v>
      </c>
      <c r="D34" s="307">
        <v>8</v>
      </c>
      <c r="E34" s="307">
        <v>18</v>
      </c>
      <c r="F34" s="307">
        <v>17</v>
      </c>
      <c r="G34" s="307">
        <v>13</v>
      </c>
      <c r="H34" s="307">
        <v>21</v>
      </c>
      <c r="I34" s="307">
        <v>22</v>
      </c>
      <c r="J34" s="307">
        <v>21</v>
      </c>
      <c r="K34" s="307">
        <v>23</v>
      </c>
      <c r="L34" s="307">
        <v>16</v>
      </c>
      <c r="M34" s="307">
        <v>18</v>
      </c>
      <c r="N34" s="307">
        <v>11</v>
      </c>
      <c r="O34" s="307">
        <v>7</v>
      </c>
      <c r="P34" s="333">
        <v>8</v>
      </c>
    </row>
    <row r="35" spans="1:16" s="28" customFormat="1" ht="15.75" x14ac:dyDescent="0.25">
      <c r="A35" s="465">
        <v>2022</v>
      </c>
      <c r="B35" s="295" t="s">
        <v>119</v>
      </c>
      <c r="C35" s="296">
        <v>144</v>
      </c>
      <c r="D35" s="308">
        <v>7</v>
      </c>
      <c r="E35" s="297">
        <v>17</v>
      </c>
      <c r="F35" s="308">
        <v>16</v>
      </c>
      <c r="G35" s="308">
        <v>9</v>
      </c>
      <c r="H35" s="308">
        <v>15</v>
      </c>
      <c r="I35" s="308">
        <v>16</v>
      </c>
      <c r="J35" s="308">
        <v>18</v>
      </c>
      <c r="K35" s="297">
        <v>15</v>
      </c>
      <c r="L35" s="297">
        <v>12</v>
      </c>
      <c r="M35" s="309">
        <v>7</v>
      </c>
      <c r="N35" s="297">
        <v>8</v>
      </c>
      <c r="O35" s="297">
        <v>3</v>
      </c>
      <c r="P35" s="308">
        <v>1</v>
      </c>
    </row>
    <row r="36" spans="1:16" s="28" customFormat="1" ht="15.75" x14ac:dyDescent="0.25">
      <c r="A36" s="465">
        <v>2022</v>
      </c>
      <c r="B36" s="295" t="s">
        <v>147</v>
      </c>
      <c r="C36" s="296">
        <v>27</v>
      </c>
      <c r="D36" s="308">
        <v>1</v>
      </c>
      <c r="E36" s="297">
        <v>0</v>
      </c>
      <c r="F36" s="308">
        <v>0</v>
      </c>
      <c r="G36" s="308">
        <v>2</v>
      </c>
      <c r="H36" s="308">
        <v>5</v>
      </c>
      <c r="I36" s="308">
        <v>4</v>
      </c>
      <c r="J36" s="308">
        <v>1</v>
      </c>
      <c r="K36" s="297">
        <v>4</v>
      </c>
      <c r="L36" s="297">
        <v>1</v>
      </c>
      <c r="M36" s="309">
        <v>4</v>
      </c>
      <c r="N36" s="297">
        <v>1</v>
      </c>
      <c r="O36" s="297">
        <v>1</v>
      </c>
      <c r="P36" s="308">
        <v>3</v>
      </c>
    </row>
    <row r="37" spans="1:16" s="28" customFormat="1" ht="15.75" x14ac:dyDescent="0.25">
      <c r="A37" s="475">
        <v>2022</v>
      </c>
      <c r="B37" s="300" t="s">
        <v>120</v>
      </c>
      <c r="C37" s="312">
        <v>32</v>
      </c>
      <c r="D37" s="326">
        <v>0</v>
      </c>
      <c r="E37" s="302">
        <v>1</v>
      </c>
      <c r="F37" s="326">
        <v>1</v>
      </c>
      <c r="G37" s="326">
        <v>2</v>
      </c>
      <c r="H37" s="326">
        <v>1</v>
      </c>
      <c r="I37" s="326">
        <v>2</v>
      </c>
      <c r="J37" s="326">
        <v>2</v>
      </c>
      <c r="K37" s="302">
        <v>4</v>
      </c>
      <c r="L37" s="302">
        <v>3</v>
      </c>
      <c r="M37" s="327">
        <v>7</v>
      </c>
      <c r="N37" s="302">
        <v>2</v>
      </c>
      <c r="O37" s="302">
        <v>3</v>
      </c>
      <c r="P37" s="326">
        <v>4</v>
      </c>
    </row>
    <row r="38" spans="1:16" s="28" customFormat="1" ht="15.75" x14ac:dyDescent="0.25">
      <c r="A38" s="409">
        <v>2023</v>
      </c>
      <c r="B38" s="328" t="s">
        <v>121</v>
      </c>
      <c r="C38" s="329">
        <v>221</v>
      </c>
      <c r="D38" s="307">
        <v>11</v>
      </c>
      <c r="E38" s="313">
        <v>16</v>
      </c>
      <c r="F38" s="413">
        <v>26</v>
      </c>
      <c r="G38" s="306">
        <v>21</v>
      </c>
      <c r="H38" s="413">
        <v>22</v>
      </c>
      <c r="I38" s="306">
        <v>19</v>
      </c>
      <c r="J38" s="413">
        <v>24</v>
      </c>
      <c r="K38" s="306">
        <v>27</v>
      </c>
      <c r="L38" s="313">
        <v>21</v>
      </c>
      <c r="M38" s="314">
        <v>14</v>
      </c>
      <c r="N38" s="313">
        <v>7</v>
      </c>
      <c r="O38" s="313">
        <v>4</v>
      </c>
      <c r="P38" s="413">
        <v>9</v>
      </c>
    </row>
    <row r="39" spans="1:16" s="28" customFormat="1" ht="15.75" x14ac:dyDescent="0.25">
      <c r="A39" s="465">
        <v>2023</v>
      </c>
      <c r="B39" s="330" t="s">
        <v>119</v>
      </c>
      <c r="C39" s="317">
        <v>163</v>
      </c>
      <c r="D39" s="299">
        <v>11</v>
      </c>
      <c r="E39" s="299">
        <v>14</v>
      </c>
      <c r="F39" s="410">
        <v>15</v>
      </c>
      <c r="G39" s="297">
        <v>18</v>
      </c>
      <c r="H39" s="410">
        <v>18</v>
      </c>
      <c r="I39" s="297">
        <v>14</v>
      </c>
      <c r="J39" s="410">
        <v>17</v>
      </c>
      <c r="K39" s="297">
        <v>17</v>
      </c>
      <c r="L39" s="299">
        <v>17</v>
      </c>
      <c r="M39" s="298">
        <v>11</v>
      </c>
      <c r="N39" s="299">
        <v>3</v>
      </c>
      <c r="O39" s="299">
        <v>2</v>
      </c>
      <c r="P39" s="410">
        <v>6</v>
      </c>
    </row>
    <row r="40" spans="1:16" s="28" customFormat="1" ht="15.75" x14ac:dyDescent="0.25">
      <c r="A40" s="465">
        <v>2023</v>
      </c>
      <c r="B40" s="330" t="s">
        <v>147</v>
      </c>
      <c r="C40" s="317">
        <v>20</v>
      </c>
      <c r="D40" s="299">
        <v>0</v>
      </c>
      <c r="E40" s="299">
        <v>0</v>
      </c>
      <c r="F40" s="410">
        <v>4</v>
      </c>
      <c r="G40" s="297">
        <v>0</v>
      </c>
      <c r="H40" s="410">
        <v>0</v>
      </c>
      <c r="I40" s="297">
        <v>4</v>
      </c>
      <c r="J40" s="410">
        <v>3</v>
      </c>
      <c r="K40" s="297">
        <v>5</v>
      </c>
      <c r="L40" s="299">
        <v>2</v>
      </c>
      <c r="M40" s="298">
        <v>1</v>
      </c>
      <c r="N40" s="299">
        <v>1</v>
      </c>
      <c r="O40" s="299">
        <v>0</v>
      </c>
      <c r="P40" s="410">
        <v>0</v>
      </c>
    </row>
    <row r="41" spans="1:16" s="28" customFormat="1" ht="15.75" x14ac:dyDescent="0.25">
      <c r="A41" s="465">
        <v>2023</v>
      </c>
      <c r="B41" s="330" t="s">
        <v>120</v>
      </c>
      <c r="C41" s="301">
        <v>38</v>
      </c>
      <c r="D41" s="304">
        <v>0</v>
      </c>
      <c r="E41" s="299">
        <v>2</v>
      </c>
      <c r="F41" s="410">
        <v>7</v>
      </c>
      <c r="G41" s="302">
        <v>3</v>
      </c>
      <c r="H41" s="410">
        <v>4</v>
      </c>
      <c r="I41" s="302">
        <v>1</v>
      </c>
      <c r="J41" s="410">
        <v>4</v>
      </c>
      <c r="K41" s="302">
        <v>5</v>
      </c>
      <c r="L41" s="299">
        <v>2</v>
      </c>
      <c r="M41" s="298">
        <v>2</v>
      </c>
      <c r="N41" s="299">
        <v>3</v>
      </c>
      <c r="O41" s="299">
        <v>2</v>
      </c>
      <c r="P41" s="410">
        <v>3</v>
      </c>
    </row>
    <row r="42" spans="1:16" ht="15.75" x14ac:dyDescent="0.25">
      <c r="A42" s="318">
        <v>2024</v>
      </c>
      <c r="B42" s="305" t="s">
        <v>121</v>
      </c>
      <c r="C42" s="310">
        <v>290</v>
      </c>
      <c r="D42" s="307">
        <v>12</v>
      </c>
      <c r="E42" s="307">
        <v>26</v>
      </c>
      <c r="F42" s="307">
        <v>34</v>
      </c>
      <c r="G42" s="307">
        <v>28</v>
      </c>
      <c r="H42" s="307">
        <v>31</v>
      </c>
      <c r="I42" s="307">
        <v>38</v>
      </c>
      <c r="J42" s="307">
        <v>22</v>
      </c>
      <c r="K42" s="307">
        <v>21</v>
      </c>
      <c r="L42" s="307">
        <v>20</v>
      </c>
      <c r="M42" s="307">
        <v>21</v>
      </c>
      <c r="N42" s="307">
        <v>20</v>
      </c>
      <c r="O42" s="307">
        <v>1</v>
      </c>
      <c r="P42" s="333">
        <v>16</v>
      </c>
    </row>
    <row r="43" spans="1:16" ht="15.75" x14ac:dyDescent="0.25">
      <c r="A43" s="465">
        <v>2024</v>
      </c>
      <c r="B43" s="295" t="s">
        <v>119</v>
      </c>
      <c r="C43" s="296">
        <v>201</v>
      </c>
      <c r="D43" s="308">
        <v>8</v>
      </c>
      <c r="E43" s="297">
        <v>21</v>
      </c>
      <c r="F43" s="308">
        <v>24</v>
      </c>
      <c r="G43" s="308">
        <v>20</v>
      </c>
      <c r="H43" s="308">
        <v>24</v>
      </c>
      <c r="I43" s="308">
        <v>29</v>
      </c>
      <c r="J43" s="308">
        <v>18</v>
      </c>
      <c r="K43" s="297">
        <v>14</v>
      </c>
      <c r="L43" s="297">
        <v>15</v>
      </c>
      <c r="M43" s="309">
        <v>14</v>
      </c>
      <c r="N43" s="297">
        <v>8</v>
      </c>
      <c r="O43" s="297">
        <v>0</v>
      </c>
      <c r="P43" s="308">
        <v>6</v>
      </c>
    </row>
    <row r="44" spans="1:16" ht="15.75" x14ac:dyDescent="0.25">
      <c r="A44" s="465">
        <v>2024</v>
      </c>
      <c r="B44" s="295" t="s">
        <v>147</v>
      </c>
      <c r="C44" s="296">
        <v>37</v>
      </c>
      <c r="D44" s="308">
        <v>1</v>
      </c>
      <c r="E44" s="297">
        <v>3</v>
      </c>
      <c r="F44" s="308">
        <v>5</v>
      </c>
      <c r="G44" s="308">
        <v>4</v>
      </c>
      <c r="H44" s="308">
        <v>4</v>
      </c>
      <c r="I44" s="308">
        <v>3</v>
      </c>
      <c r="J44" s="308">
        <v>3</v>
      </c>
      <c r="K44" s="297">
        <v>4</v>
      </c>
      <c r="L44" s="297">
        <v>1</v>
      </c>
      <c r="M44" s="309">
        <v>4</v>
      </c>
      <c r="N44" s="297">
        <v>3</v>
      </c>
      <c r="O44" s="297">
        <v>0</v>
      </c>
      <c r="P44" s="308">
        <v>2</v>
      </c>
    </row>
    <row r="45" spans="1:16" ht="15.75" x14ac:dyDescent="0.25">
      <c r="A45" s="465">
        <v>2024</v>
      </c>
      <c r="B45" s="295" t="s">
        <v>120</v>
      </c>
      <c r="C45" s="317">
        <v>52</v>
      </c>
      <c r="D45" s="308">
        <v>3</v>
      </c>
      <c r="E45" s="297">
        <v>2</v>
      </c>
      <c r="F45" s="308">
        <v>5</v>
      </c>
      <c r="G45" s="308">
        <v>4</v>
      </c>
      <c r="H45" s="308">
        <v>3</v>
      </c>
      <c r="I45" s="308">
        <v>6</v>
      </c>
      <c r="J45" s="308">
        <v>1</v>
      </c>
      <c r="K45" s="297">
        <v>3</v>
      </c>
      <c r="L45" s="297">
        <v>4</v>
      </c>
      <c r="M45" s="309">
        <v>3</v>
      </c>
      <c r="N45" s="297">
        <v>9</v>
      </c>
      <c r="O45" s="297">
        <v>1</v>
      </c>
      <c r="P45" s="308">
        <v>8</v>
      </c>
    </row>
    <row r="47" spans="1:16" x14ac:dyDescent="0.2">
      <c r="B47"/>
      <c r="C47" s="4"/>
      <c r="G47"/>
    </row>
    <row r="48" spans="1:16" x14ac:dyDescent="0.2">
      <c r="B48"/>
      <c r="C48" s="4"/>
      <c r="G48"/>
    </row>
    <row r="49" spans="2:16" x14ac:dyDescent="0.2">
      <c r="B49"/>
      <c r="C49" s="4"/>
      <c r="G49"/>
    </row>
    <row r="50" spans="2:16" x14ac:dyDescent="0.2">
      <c r="B50"/>
      <c r="C50" s="4"/>
      <c r="G50"/>
    </row>
    <row r="51" spans="2:16" x14ac:dyDescent="0.2">
      <c r="C51" s="1"/>
      <c r="D51" s="1"/>
      <c r="E51" s="1"/>
      <c r="F51" s="1"/>
      <c r="G51" s="1"/>
      <c r="H51" s="1"/>
      <c r="I51" s="1"/>
      <c r="J51" s="1"/>
      <c r="K51" s="1"/>
      <c r="L51" s="1"/>
      <c r="M51" s="1"/>
      <c r="N51" s="1"/>
      <c r="O51" s="1"/>
      <c r="P51" s="1"/>
    </row>
    <row r="52" spans="2:16" x14ac:dyDescent="0.2">
      <c r="D52"/>
      <c r="E52"/>
      <c r="F52"/>
      <c r="G52"/>
    </row>
    <row r="53" spans="2:16" x14ac:dyDescent="0.2">
      <c r="D53"/>
      <c r="E53"/>
      <c r="F53"/>
      <c r="G53"/>
    </row>
    <row r="54" spans="2:16" x14ac:dyDescent="0.2">
      <c r="D54"/>
      <c r="E54"/>
      <c r="F54"/>
      <c r="G54"/>
    </row>
    <row r="55" spans="2:16" x14ac:dyDescent="0.2">
      <c r="D55"/>
      <c r="E55"/>
      <c r="F55"/>
      <c r="G55"/>
    </row>
  </sheetData>
  <hyperlinks>
    <hyperlink ref="A4" location="'Table List'!A1" display="Table list" xr:uid="{19B7C79B-1D43-4460-B112-14C6C3203C00}"/>
    <hyperlink ref="A3" location="Notes!A1" display="Notes" xr:uid="{19366AEA-C2E9-46D6-8D06-D5B16267EE05}"/>
  </hyperlinks>
  <pageMargins left="0.7" right="0.7" top="0.75" bottom="0.75" header="0.3" footer="0.3"/>
  <pageSetup orientation="portrait" horizontalDpi="90" verticalDpi="90"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tint="0.79998168889431442"/>
  </sheetPr>
  <dimension ref="A1:H55"/>
  <sheetViews>
    <sheetView showGridLines="0" workbookViewId="0">
      <pane ySplit="5" topLeftCell="A6" activePane="bottomLeft" state="frozen"/>
      <selection activeCell="G18" sqref="G18:G19"/>
      <selection pane="bottomLeft"/>
    </sheetView>
  </sheetViews>
  <sheetFormatPr defaultColWidth="9.42578125" defaultRowHeight="12.75" x14ac:dyDescent="0.2"/>
  <cols>
    <col min="1" max="1" width="17.85546875" style="3" customWidth="1"/>
    <col min="2" max="2" width="19.5703125" style="1" customWidth="1"/>
    <col min="3" max="3" width="8.5703125" customWidth="1"/>
    <col min="4" max="7" width="16.42578125" style="4" customWidth="1"/>
    <col min="8" max="8" width="16.42578125" customWidth="1"/>
    <col min="9" max="9" width="6.42578125" customWidth="1"/>
    <col min="10" max="10" width="5.5703125" customWidth="1"/>
    <col min="11" max="11" width="4.5703125" customWidth="1"/>
  </cols>
  <sheetData>
    <row r="1" spans="1:8" s="348" customFormat="1" ht="19.5" x14ac:dyDescent="0.3">
      <c r="A1" s="12" t="s">
        <v>311</v>
      </c>
      <c r="B1" s="344"/>
      <c r="C1" s="344"/>
      <c r="D1" s="344"/>
      <c r="E1" s="344"/>
      <c r="F1" s="344"/>
      <c r="G1" s="344"/>
      <c r="H1" s="344"/>
    </row>
    <row r="2" spans="1:8" ht="15.75" x14ac:dyDescent="0.25">
      <c r="A2" s="93" t="s">
        <v>195</v>
      </c>
      <c r="B2" s="94"/>
      <c r="C2" s="95"/>
      <c r="D2" s="95"/>
      <c r="E2" s="95"/>
      <c r="F2" s="95"/>
      <c r="G2" s="95"/>
    </row>
    <row r="3" spans="1:8" ht="15.75" x14ac:dyDescent="0.25">
      <c r="A3" s="97" t="s">
        <v>196</v>
      </c>
      <c r="B3" s="94"/>
      <c r="C3" s="95"/>
      <c r="D3" s="95"/>
      <c r="E3" s="95"/>
      <c r="F3" s="95"/>
      <c r="G3" s="95"/>
    </row>
    <row r="4" spans="1:8" ht="16.5" thickBot="1" x14ac:dyDescent="0.3">
      <c r="A4" s="98" t="s">
        <v>197</v>
      </c>
      <c r="B4" s="94"/>
      <c r="C4" s="95"/>
      <c r="D4" s="95"/>
      <c r="E4" s="95"/>
      <c r="F4" s="95"/>
      <c r="G4" s="95"/>
      <c r="H4" s="92"/>
    </row>
    <row r="5" spans="1:8" ht="16.5" thickBot="1" x14ac:dyDescent="0.3">
      <c r="A5" s="156" t="s">
        <v>11</v>
      </c>
      <c r="B5" s="332" t="s">
        <v>157</v>
      </c>
      <c r="C5" s="331" t="s">
        <v>16</v>
      </c>
      <c r="D5" s="435" t="s">
        <v>15</v>
      </c>
      <c r="E5" s="435" t="s">
        <v>122</v>
      </c>
      <c r="F5" s="435" t="s">
        <v>123</v>
      </c>
      <c r="G5" s="435" t="s">
        <v>124</v>
      </c>
      <c r="H5" s="436" t="s">
        <v>125</v>
      </c>
    </row>
    <row r="6" spans="1:8" s="27" customFormat="1" ht="15.75" x14ac:dyDescent="0.25">
      <c r="A6" s="409">
        <v>2015</v>
      </c>
      <c r="B6" s="292" t="s">
        <v>121</v>
      </c>
      <c r="C6" s="293">
        <v>220</v>
      </c>
      <c r="D6" s="313">
        <v>57</v>
      </c>
      <c r="E6" s="313">
        <v>40</v>
      </c>
      <c r="F6" s="313">
        <v>41</v>
      </c>
      <c r="G6" s="313">
        <v>47</v>
      </c>
      <c r="H6" s="413">
        <v>35</v>
      </c>
    </row>
    <row r="7" spans="1:8" s="27" customFormat="1" ht="15.75" x14ac:dyDescent="0.25">
      <c r="A7" s="465">
        <v>2015</v>
      </c>
      <c r="B7" s="295" t="s">
        <v>119</v>
      </c>
      <c r="C7" s="296">
        <v>155</v>
      </c>
      <c r="D7" s="308">
        <v>45</v>
      </c>
      <c r="E7" s="297">
        <v>28</v>
      </c>
      <c r="F7" s="308">
        <v>30</v>
      </c>
      <c r="G7" s="308">
        <v>31</v>
      </c>
      <c r="H7" s="308">
        <v>21</v>
      </c>
    </row>
    <row r="8" spans="1:8" s="27" customFormat="1" ht="15.75" x14ac:dyDescent="0.25">
      <c r="A8" s="465">
        <v>2015</v>
      </c>
      <c r="B8" s="295" t="s">
        <v>147</v>
      </c>
      <c r="C8" s="296">
        <v>29</v>
      </c>
      <c r="D8" s="308">
        <v>7</v>
      </c>
      <c r="E8" s="297">
        <v>4</v>
      </c>
      <c r="F8" s="308">
        <v>6</v>
      </c>
      <c r="G8" s="308">
        <v>6</v>
      </c>
      <c r="H8" s="308">
        <v>6</v>
      </c>
    </row>
    <row r="9" spans="1:8" s="27" customFormat="1" ht="15.75" x14ac:dyDescent="0.25">
      <c r="A9" s="465">
        <v>2015</v>
      </c>
      <c r="B9" s="300" t="s">
        <v>120</v>
      </c>
      <c r="C9" s="296">
        <v>36</v>
      </c>
      <c r="D9" s="326">
        <v>5</v>
      </c>
      <c r="E9" s="302">
        <v>8</v>
      </c>
      <c r="F9" s="326">
        <v>5</v>
      </c>
      <c r="G9" s="326">
        <v>10</v>
      </c>
      <c r="H9" s="326">
        <v>8</v>
      </c>
    </row>
    <row r="10" spans="1:8" s="27" customFormat="1" ht="15.75" x14ac:dyDescent="0.25">
      <c r="A10" s="318">
        <v>2016</v>
      </c>
      <c r="B10" s="305" t="s">
        <v>121</v>
      </c>
      <c r="C10" s="310">
        <v>195</v>
      </c>
      <c r="D10" s="307">
        <v>44</v>
      </c>
      <c r="E10" s="307">
        <v>53</v>
      </c>
      <c r="F10" s="307">
        <v>34</v>
      </c>
      <c r="G10" s="307">
        <v>33</v>
      </c>
      <c r="H10" s="333">
        <v>31</v>
      </c>
    </row>
    <row r="11" spans="1:8" ht="15.75" x14ac:dyDescent="0.25">
      <c r="A11" s="465">
        <v>2016</v>
      </c>
      <c r="B11" s="295" t="s">
        <v>119</v>
      </c>
      <c r="C11" s="296">
        <v>130</v>
      </c>
      <c r="D11" s="308">
        <v>31</v>
      </c>
      <c r="E11" s="297">
        <v>30</v>
      </c>
      <c r="F11" s="308">
        <v>22</v>
      </c>
      <c r="G11" s="308">
        <v>24</v>
      </c>
      <c r="H11" s="308">
        <v>23</v>
      </c>
    </row>
    <row r="12" spans="1:8" ht="15.75" x14ac:dyDescent="0.25">
      <c r="A12" s="465">
        <v>2016</v>
      </c>
      <c r="B12" s="295" t="s">
        <v>147</v>
      </c>
      <c r="C12" s="296">
        <v>22</v>
      </c>
      <c r="D12" s="308">
        <v>4</v>
      </c>
      <c r="E12" s="297">
        <v>10</v>
      </c>
      <c r="F12" s="308">
        <v>4</v>
      </c>
      <c r="G12" s="308">
        <v>3</v>
      </c>
      <c r="H12" s="308">
        <v>1</v>
      </c>
    </row>
    <row r="13" spans="1:8" ht="15.75" x14ac:dyDescent="0.25">
      <c r="A13" s="465">
        <v>2016</v>
      </c>
      <c r="B13" s="300" t="s">
        <v>120</v>
      </c>
      <c r="C13" s="296">
        <v>43</v>
      </c>
      <c r="D13" s="326">
        <v>9</v>
      </c>
      <c r="E13" s="302">
        <v>13</v>
      </c>
      <c r="F13" s="326">
        <v>8</v>
      </c>
      <c r="G13" s="326">
        <v>6</v>
      </c>
      <c r="H13" s="326">
        <v>7</v>
      </c>
    </row>
    <row r="14" spans="1:8" ht="15.75" x14ac:dyDescent="0.25">
      <c r="A14" s="318">
        <v>2017</v>
      </c>
      <c r="B14" s="305" t="s">
        <v>121</v>
      </c>
      <c r="C14" s="310">
        <v>199</v>
      </c>
      <c r="D14" s="307">
        <v>48</v>
      </c>
      <c r="E14" s="307">
        <v>40</v>
      </c>
      <c r="F14" s="307">
        <v>44</v>
      </c>
      <c r="G14" s="307">
        <v>31</v>
      </c>
      <c r="H14" s="333">
        <v>36</v>
      </c>
    </row>
    <row r="15" spans="1:8" ht="15.75" x14ac:dyDescent="0.25">
      <c r="A15" s="465">
        <v>2017</v>
      </c>
      <c r="B15" s="295" t="s">
        <v>119</v>
      </c>
      <c r="C15" s="296">
        <v>144</v>
      </c>
      <c r="D15" s="308">
        <v>38</v>
      </c>
      <c r="E15" s="297">
        <v>27</v>
      </c>
      <c r="F15" s="308">
        <v>26</v>
      </c>
      <c r="G15" s="308">
        <v>25</v>
      </c>
      <c r="H15" s="308">
        <v>28</v>
      </c>
    </row>
    <row r="16" spans="1:8" ht="15.75" x14ac:dyDescent="0.25">
      <c r="A16" s="465">
        <v>2017</v>
      </c>
      <c r="B16" s="295" t="s">
        <v>147</v>
      </c>
      <c r="C16" s="296">
        <v>24</v>
      </c>
      <c r="D16" s="308">
        <v>5</v>
      </c>
      <c r="E16" s="297">
        <v>6</v>
      </c>
      <c r="F16" s="308">
        <v>10</v>
      </c>
      <c r="G16" s="308">
        <v>3</v>
      </c>
      <c r="H16" s="308">
        <v>0</v>
      </c>
    </row>
    <row r="17" spans="1:8" ht="15.75" x14ac:dyDescent="0.25">
      <c r="A17" s="465">
        <v>2017</v>
      </c>
      <c r="B17" s="300" t="s">
        <v>120</v>
      </c>
      <c r="C17" s="296">
        <v>31</v>
      </c>
      <c r="D17" s="326">
        <v>5</v>
      </c>
      <c r="E17" s="302">
        <v>7</v>
      </c>
      <c r="F17" s="326">
        <v>8</v>
      </c>
      <c r="G17" s="326">
        <v>3</v>
      </c>
      <c r="H17" s="326">
        <v>8</v>
      </c>
    </row>
    <row r="18" spans="1:8" ht="15.75" x14ac:dyDescent="0.25">
      <c r="A18" s="318">
        <v>2018</v>
      </c>
      <c r="B18" s="305" t="s">
        <v>121</v>
      </c>
      <c r="C18" s="310">
        <v>236</v>
      </c>
      <c r="D18" s="307">
        <v>65</v>
      </c>
      <c r="E18" s="307">
        <v>55</v>
      </c>
      <c r="F18" s="307">
        <v>43</v>
      </c>
      <c r="G18" s="307">
        <v>31</v>
      </c>
      <c r="H18" s="333">
        <v>42</v>
      </c>
    </row>
    <row r="19" spans="1:8" ht="15.75" x14ac:dyDescent="0.25">
      <c r="A19" s="465">
        <v>2018</v>
      </c>
      <c r="B19" s="295" t="s">
        <v>119</v>
      </c>
      <c r="C19" s="296">
        <v>131</v>
      </c>
      <c r="D19" s="308">
        <v>38</v>
      </c>
      <c r="E19" s="297">
        <v>30</v>
      </c>
      <c r="F19" s="308">
        <v>24</v>
      </c>
      <c r="G19" s="308">
        <v>17</v>
      </c>
      <c r="H19" s="308">
        <v>22</v>
      </c>
    </row>
    <row r="20" spans="1:8" ht="15.75" x14ac:dyDescent="0.25">
      <c r="A20" s="465">
        <v>2018</v>
      </c>
      <c r="B20" s="295" t="s">
        <v>147</v>
      </c>
      <c r="C20" s="296">
        <v>62</v>
      </c>
      <c r="D20" s="308">
        <v>19</v>
      </c>
      <c r="E20" s="297">
        <v>14</v>
      </c>
      <c r="F20" s="308">
        <v>11</v>
      </c>
      <c r="G20" s="308">
        <v>10</v>
      </c>
      <c r="H20" s="308">
        <v>8</v>
      </c>
    </row>
    <row r="21" spans="1:8" ht="15.75" x14ac:dyDescent="0.25">
      <c r="A21" s="465">
        <v>2018</v>
      </c>
      <c r="B21" s="300" t="s">
        <v>120</v>
      </c>
      <c r="C21" s="296">
        <v>43</v>
      </c>
      <c r="D21" s="326">
        <v>8</v>
      </c>
      <c r="E21" s="302">
        <v>11</v>
      </c>
      <c r="F21" s="326">
        <v>8</v>
      </c>
      <c r="G21" s="326">
        <v>4</v>
      </c>
      <c r="H21" s="326">
        <v>12</v>
      </c>
    </row>
    <row r="22" spans="1:8" ht="15.75" x14ac:dyDescent="0.25">
      <c r="A22" s="318">
        <v>2019</v>
      </c>
      <c r="B22" s="305" t="s">
        <v>121</v>
      </c>
      <c r="C22" s="310">
        <v>205</v>
      </c>
      <c r="D22" s="307">
        <v>55</v>
      </c>
      <c r="E22" s="307">
        <v>43</v>
      </c>
      <c r="F22" s="307">
        <v>38</v>
      </c>
      <c r="G22" s="307">
        <v>36</v>
      </c>
      <c r="H22" s="333">
        <v>33</v>
      </c>
    </row>
    <row r="23" spans="1:8" ht="15.75" x14ac:dyDescent="0.25">
      <c r="A23" s="465">
        <v>2019</v>
      </c>
      <c r="B23" s="295" t="s">
        <v>119</v>
      </c>
      <c r="C23" s="296">
        <v>136</v>
      </c>
      <c r="D23" s="308">
        <v>31</v>
      </c>
      <c r="E23" s="297">
        <v>27</v>
      </c>
      <c r="F23" s="308">
        <v>28</v>
      </c>
      <c r="G23" s="308">
        <v>25</v>
      </c>
      <c r="H23" s="308">
        <v>25</v>
      </c>
    </row>
    <row r="24" spans="1:8" ht="15.75" x14ac:dyDescent="0.25">
      <c r="A24" s="465">
        <v>2019</v>
      </c>
      <c r="B24" s="295" t="s">
        <v>147</v>
      </c>
      <c r="C24" s="296">
        <v>46</v>
      </c>
      <c r="D24" s="308">
        <v>20</v>
      </c>
      <c r="E24" s="297">
        <v>13</v>
      </c>
      <c r="F24" s="308">
        <v>5</v>
      </c>
      <c r="G24" s="308">
        <v>6</v>
      </c>
      <c r="H24" s="308">
        <v>2</v>
      </c>
    </row>
    <row r="25" spans="1:8" ht="15.75" x14ac:dyDescent="0.25">
      <c r="A25" s="465">
        <v>2019</v>
      </c>
      <c r="B25" s="295" t="s">
        <v>120</v>
      </c>
      <c r="C25" s="296">
        <v>23</v>
      </c>
      <c r="D25" s="308">
        <v>4</v>
      </c>
      <c r="E25" s="297">
        <v>3</v>
      </c>
      <c r="F25" s="308">
        <v>5</v>
      </c>
      <c r="G25" s="308">
        <v>5</v>
      </c>
      <c r="H25" s="308">
        <v>6</v>
      </c>
    </row>
    <row r="26" spans="1:8" ht="15.75" x14ac:dyDescent="0.25">
      <c r="A26" s="318">
        <v>2020</v>
      </c>
      <c r="B26" s="305" t="s">
        <v>121</v>
      </c>
      <c r="C26" s="310">
        <v>219</v>
      </c>
      <c r="D26" s="307">
        <v>62</v>
      </c>
      <c r="E26" s="307">
        <v>39</v>
      </c>
      <c r="F26" s="307">
        <v>37</v>
      </c>
      <c r="G26" s="307">
        <v>47</v>
      </c>
      <c r="H26" s="333">
        <v>34</v>
      </c>
    </row>
    <row r="27" spans="1:8" ht="15.75" x14ac:dyDescent="0.25">
      <c r="A27" s="465">
        <v>2020</v>
      </c>
      <c r="B27" s="295" t="s">
        <v>119</v>
      </c>
      <c r="C27" s="296">
        <v>149</v>
      </c>
      <c r="D27" s="297">
        <v>47</v>
      </c>
      <c r="E27" s="297">
        <v>22</v>
      </c>
      <c r="F27" s="297">
        <v>20</v>
      </c>
      <c r="G27" s="297">
        <v>33</v>
      </c>
      <c r="H27" s="308">
        <v>27</v>
      </c>
    </row>
    <row r="28" spans="1:8" ht="15.75" x14ac:dyDescent="0.25">
      <c r="A28" s="465">
        <v>2020</v>
      </c>
      <c r="B28" s="295" t="s">
        <v>147</v>
      </c>
      <c r="C28" s="296">
        <v>34</v>
      </c>
      <c r="D28" s="297">
        <v>11</v>
      </c>
      <c r="E28" s="297">
        <v>8</v>
      </c>
      <c r="F28" s="297">
        <v>7</v>
      </c>
      <c r="G28" s="297">
        <v>7</v>
      </c>
      <c r="H28" s="308">
        <v>1</v>
      </c>
    </row>
    <row r="29" spans="1:8" ht="15.75" x14ac:dyDescent="0.25">
      <c r="A29" s="475">
        <v>2020</v>
      </c>
      <c r="B29" s="300" t="s">
        <v>120</v>
      </c>
      <c r="C29" s="312">
        <v>36</v>
      </c>
      <c r="D29" s="302">
        <v>4</v>
      </c>
      <c r="E29" s="302">
        <v>9</v>
      </c>
      <c r="F29" s="302">
        <v>10</v>
      </c>
      <c r="G29" s="302">
        <v>7</v>
      </c>
      <c r="H29" s="326">
        <v>6</v>
      </c>
    </row>
    <row r="30" spans="1:8" ht="15.75" x14ac:dyDescent="0.25">
      <c r="A30" s="409">
        <v>2021</v>
      </c>
      <c r="B30" s="305" t="s">
        <v>121</v>
      </c>
      <c r="C30" s="310">
        <v>237</v>
      </c>
      <c r="D30" s="307">
        <v>58</v>
      </c>
      <c r="E30" s="307">
        <v>43</v>
      </c>
      <c r="F30" s="307">
        <v>49</v>
      </c>
      <c r="G30" s="307">
        <v>45</v>
      </c>
      <c r="H30" s="333">
        <v>42</v>
      </c>
    </row>
    <row r="31" spans="1:8" ht="15.75" x14ac:dyDescent="0.25">
      <c r="A31" s="465">
        <v>2021</v>
      </c>
      <c r="B31" s="295" t="s">
        <v>119</v>
      </c>
      <c r="C31" s="296">
        <v>160</v>
      </c>
      <c r="D31" s="308">
        <v>41</v>
      </c>
      <c r="E31" s="297">
        <v>34</v>
      </c>
      <c r="F31" s="308">
        <v>30</v>
      </c>
      <c r="G31" s="308">
        <v>31</v>
      </c>
      <c r="H31" s="308">
        <v>24</v>
      </c>
    </row>
    <row r="32" spans="1:8" ht="15.75" x14ac:dyDescent="0.25">
      <c r="A32" s="465">
        <v>2021</v>
      </c>
      <c r="B32" s="295" t="s">
        <v>147</v>
      </c>
      <c r="C32" s="296">
        <v>42</v>
      </c>
      <c r="D32" s="308">
        <v>13</v>
      </c>
      <c r="E32" s="297">
        <v>4</v>
      </c>
      <c r="F32" s="308">
        <v>9</v>
      </c>
      <c r="G32" s="308">
        <v>8</v>
      </c>
      <c r="H32" s="308">
        <v>8</v>
      </c>
    </row>
    <row r="33" spans="1:8" ht="15.75" x14ac:dyDescent="0.25">
      <c r="A33" s="465">
        <v>2021</v>
      </c>
      <c r="B33" s="295" t="s">
        <v>120</v>
      </c>
      <c r="C33" s="296">
        <v>35</v>
      </c>
      <c r="D33" s="308">
        <v>4</v>
      </c>
      <c r="E33" s="297">
        <v>5</v>
      </c>
      <c r="F33" s="308">
        <v>10</v>
      </c>
      <c r="G33" s="308">
        <v>6</v>
      </c>
      <c r="H33" s="308">
        <v>10</v>
      </c>
    </row>
    <row r="34" spans="1:8" ht="15.75" x14ac:dyDescent="0.25">
      <c r="A34" s="318">
        <v>2022</v>
      </c>
      <c r="B34" s="305" t="s">
        <v>121</v>
      </c>
      <c r="C34" s="310">
        <v>203</v>
      </c>
      <c r="D34" s="307">
        <v>51</v>
      </c>
      <c r="E34" s="307">
        <v>40</v>
      </c>
      <c r="F34" s="307">
        <v>34</v>
      </c>
      <c r="G34" s="307">
        <v>43</v>
      </c>
      <c r="H34" s="333">
        <v>35</v>
      </c>
    </row>
    <row r="35" spans="1:8" ht="15.75" x14ac:dyDescent="0.25">
      <c r="A35" s="465">
        <v>2022</v>
      </c>
      <c r="B35" s="295" t="s">
        <v>119</v>
      </c>
      <c r="C35" s="296">
        <v>144</v>
      </c>
      <c r="D35" s="308">
        <v>36</v>
      </c>
      <c r="E35" s="297">
        <v>28</v>
      </c>
      <c r="F35" s="308">
        <v>21</v>
      </c>
      <c r="G35" s="308">
        <v>36</v>
      </c>
      <c r="H35" s="308">
        <v>23</v>
      </c>
    </row>
    <row r="36" spans="1:8" ht="15.75" x14ac:dyDescent="0.25">
      <c r="A36" s="465">
        <v>2022</v>
      </c>
      <c r="B36" s="295" t="s">
        <v>147</v>
      </c>
      <c r="C36" s="296">
        <v>27</v>
      </c>
      <c r="D36" s="308">
        <v>9</v>
      </c>
      <c r="E36" s="297">
        <v>5</v>
      </c>
      <c r="F36" s="308">
        <v>6</v>
      </c>
      <c r="G36" s="308">
        <v>2</v>
      </c>
      <c r="H36" s="308">
        <v>5</v>
      </c>
    </row>
    <row r="37" spans="1:8" ht="15.75" x14ac:dyDescent="0.25">
      <c r="A37" s="475">
        <v>2022</v>
      </c>
      <c r="B37" s="300" t="s">
        <v>120</v>
      </c>
      <c r="C37" s="301">
        <v>32</v>
      </c>
      <c r="D37" s="326">
        <v>6</v>
      </c>
      <c r="E37" s="302">
        <v>7</v>
      </c>
      <c r="F37" s="326">
        <v>7</v>
      </c>
      <c r="G37" s="326">
        <v>5</v>
      </c>
      <c r="H37" s="326">
        <v>7</v>
      </c>
    </row>
    <row r="38" spans="1:8" ht="15.75" x14ac:dyDescent="0.25">
      <c r="A38" s="409">
        <v>2023</v>
      </c>
      <c r="B38" s="292" t="s">
        <v>121</v>
      </c>
      <c r="C38" s="293">
        <v>221</v>
      </c>
      <c r="D38" s="334">
        <v>50</v>
      </c>
      <c r="E38" s="294">
        <v>56</v>
      </c>
      <c r="F38" s="334">
        <v>39</v>
      </c>
      <c r="G38" s="334">
        <v>40</v>
      </c>
      <c r="H38" s="334">
        <v>36</v>
      </c>
    </row>
    <row r="39" spans="1:8" ht="15.75" x14ac:dyDescent="0.25">
      <c r="A39" s="465">
        <v>2023</v>
      </c>
      <c r="B39" s="335" t="s">
        <v>119</v>
      </c>
      <c r="C39" s="336">
        <v>163</v>
      </c>
      <c r="D39" s="337">
        <v>39</v>
      </c>
      <c r="E39" s="338">
        <v>37</v>
      </c>
      <c r="F39" s="337">
        <v>30</v>
      </c>
      <c r="G39" s="337">
        <v>31</v>
      </c>
      <c r="H39" s="337">
        <v>26</v>
      </c>
    </row>
    <row r="40" spans="1:8" ht="15.75" x14ac:dyDescent="0.25">
      <c r="A40" s="465">
        <v>2023</v>
      </c>
      <c r="B40" s="335" t="s">
        <v>147</v>
      </c>
      <c r="C40" s="336">
        <v>20</v>
      </c>
      <c r="D40" s="337">
        <v>6</v>
      </c>
      <c r="E40" s="338">
        <v>5</v>
      </c>
      <c r="F40" s="337">
        <v>2</v>
      </c>
      <c r="G40" s="337">
        <v>3</v>
      </c>
      <c r="H40" s="337">
        <v>4</v>
      </c>
    </row>
    <row r="41" spans="1:8" ht="15.75" x14ac:dyDescent="0.25">
      <c r="A41" s="465">
        <v>2023</v>
      </c>
      <c r="B41" s="335" t="s">
        <v>120</v>
      </c>
      <c r="C41" s="336">
        <v>38</v>
      </c>
      <c r="D41" s="337">
        <v>5</v>
      </c>
      <c r="E41" s="338">
        <v>14</v>
      </c>
      <c r="F41" s="337">
        <v>7</v>
      </c>
      <c r="G41" s="337">
        <v>6</v>
      </c>
      <c r="H41" s="337">
        <v>6</v>
      </c>
    </row>
    <row r="42" spans="1:8" ht="15.75" x14ac:dyDescent="0.25">
      <c r="A42" s="318">
        <v>2024</v>
      </c>
      <c r="B42" s="305" t="s">
        <v>121</v>
      </c>
      <c r="C42" s="310">
        <v>290</v>
      </c>
      <c r="D42" s="307">
        <v>54</v>
      </c>
      <c r="E42" s="307">
        <v>65</v>
      </c>
      <c r="F42" s="307">
        <v>56</v>
      </c>
      <c r="G42" s="307">
        <v>65</v>
      </c>
      <c r="H42" s="333">
        <v>50</v>
      </c>
    </row>
    <row r="43" spans="1:8" ht="15.75" x14ac:dyDescent="0.25">
      <c r="A43" s="465">
        <v>2024</v>
      </c>
      <c r="B43" s="295" t="s">
        <v>119</v>
      </c>
      <c r="C43" s="296">
        <v>201</v>
      </c>
      <c r="D43" s="308">
        <v>39</v>
      </c>
      <c r="E43" s="297">
        <v>45</v>
      </c>
      <c r="F43" s="308">
        <v>40</v>
      </c>
      <c r="G43" s="308">
        <v>47</v>
      </c>
      <c r="H43" s="308">
        <v>30</v>
      </c>
    </row>
    <row r="44" spans="1:8" ht="15.75" x14ac:dyDescent="0.25">
      <c r="A44" s="465">
        <v>2024</v>
      </c>
      <c r="B44" s="295" t="s">
        <v>147</v>
      </c>
      <c r="C44" s="296">
        <v>37</v>
      </c>
      <c r="D44" s="308">
        <v>8</v>
      </c>
      <c r="E44" s="297">
        <v>6</v>
      </c>
      <c r="F44" s="308">
        <v>8</v>
      </c>
      <c r="G44" s="308">
        <v>6</v>
      </c>
      <c r="H44" s="308">
        <v>9</v>
      </c>
    </row>
    <row r="45" spans="1:8" ht="15.75" x14ac:dyDescent="0.25">
      <c r="A45" s="465">
        <v>2024</v>
      </c>
      <c r="B45" s="295" t="s">
        <v>120</v>
      </c>
      <c r="C45" s="317">
        <v>52</v>
      </c>
      <c r="D45" s="308">
        <v>7</v>
      </c>
      <c r="E45" s="297">
        <v>14</v>
      </c>
      <c r="F45" s="308">
        <v>8</v>
      </c>
      <c r="G45" s="308">
        <v>12</v>
      </c>
      <c r="H45" s="308">
        <v>11</v>
      </c>
    </row>
    <row r="48" spans="1:8" x14ac:dyDescent="0.2">
      <c r="B48"/>
      <c r="C48" s="4"/>
      <c r="G48"/>
    </row>
    <row r="49" spans="2:7" x14ac:dyDescent="0.2">
      <c r="B49"/>
      <c r="C49" s="4"/>
      <c r="G49"/>
    </row>
    <row r="50" spans="2:7" x14ac:dyDescent="0.2">
      <c r="B50"/>
      <c r="C50" s="4"/>
      <c r="G50"/>
    </row>
    <row r="51" spans="2:7" x14ac:dyDescent="0.2">
      <c r="B51"/>
      <c r="C51" s="4"/>
      <c r="G51"/>
    </row>
    <row r="53" spans="2:7" x14ac:dyDescent="0.2">
      <c r="D53"/>
      <c r="E53"/>
      <c r="F53"/>
      <c r="G53"/>
    </row>
    <row r="54" spans="2:7" x14ac:dyDescent="0.2">
      <c r="D54"/>
      <c r="E54"/>
      <c r="F54"/>
      <c r="G54"/>
    </row>
    <row r="55" spans="2:7" x14ac:dyDescent="0.2">
      <c r="D55"/>
      <c r="E55"/>
      <c r="F55"/>
      <c r="G55"/>
    </row>
  </sheetData>
  <hyperlinks>
    <hyperlink ref="A4" location="'Table List'!A1" display="Table list" xr:uid="{8ABB9498-4ED0-48E7-94EF-53D59267802D}"/>
    <hyperlink ref="A3" location="Notes!A1" display="Notes" xr:uid="{66E53E2D-1131-4894-B1DC-F379A91B7B72}"/>
  </hyperlinks>
  <pageMargins left="0.7" right="0.7" top="0.75" bottom="0.75" header="0.3" footer="0.3"/>
  <pageSetup orientation="portrait" horizontalDpi="90" verticalDpi="90"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165E1-3BE9-4B4F-9B3A-284D0CC0AD89}">
  <sheetPr>
    <tabColor theme="6" tint="0.59999389629810485"/>
  </sheetPr>
  <dimension ref="A1:I31"/>
  <sheetViews>
    <sheetView showGridLines="0" workbookViewId="0"/>
  </sheetViews>
  <sheetFormatPr defaultColWidth="9.42578125" defaultRowHeight="12.75" x14ac:dyDescent="0.2"/>
  <cols>
    <col min="1" max="1" width="18" style="3" customWidth="1"/>
    <col min="2" max="2" width="20.5703125" style="1" customWidth="1"/>
    <col min="3" max="3" width="15" customWidth="1"/>
    <col min="4" max="4" width="22.5703125" style="4" customWidth="1"/>
    <col min="5" max="5" width="19" style="4" customWidth="1"/>
    <col min="6" max="6" width="20.140625" style="4" customWidth="1"/>
    <col min="7" max="7" width="21.5703125" style="4" customWidth="1"/>
    <col min="8" max="8" width="19.5703125" bestFit="1" customWidth="1"/>
    <col min="9" max="9" width="9.42578125" style="46"/>
  </cols>
  <sheetData>
    <row r="1" spans="1:9" ht="19.5" x14ac:dyDescent="0.3">
      <c r="A1" s="12" t="s">
        <v>317</v>
      </c>
      <c r="B1" s="7"/>
      <c r="C1" s="7"/>
      <c r="D1" s="7"/>
      <c r="E1" s="7"/>
      <c r="F1" s="7"/>
      <c r="G1" s="7"/>
      <c r="H1" s="31"/>
      <c r="I1" s="382"/>
    </row>
    <row r="2" spans="1:9" ht="15.75" x14ac:dyDescent="0.25">
      <c r="A2" s="93" t="s">
        <v>195</v>
      </c>
      <c r="B2" s="94"/>
      <c r="C2" s="95"/>
      <c r="D2" s="95"/>
      <c r="E2" s="95"/>
      <c r="F2" s="95"/>
      <c r="G2" s="95"/>
    </row>
    <row r="3" spans="1:9" ht="15.75" x14ac:dyDescent="0.25">
      <c r="A3" s="97" t="s">
        <v>196</v>
      </c>
      <c r="B3" s="94"/>
      <c r="C3" s="95"/>
      <c r="D3" s="95"/>
      <c r="E3" s="95"/>
      <c r="F3" s="95"/>
      <c r="G3" s="95"/>
    </row>
    <row r="4" spans="1:9" ht="16.5" thickBot="1" x14ac:dyDescent="0.3">
      <c r="A4" s="98" t="s">
        <v>197</v>
      </c>
      <c r="B4" s="94"/>
      <c r="C4" s="95"/>
      <c r="D4" s="95"/>
      <c r="E4" s="95"/>
      <c r="F4" s="95"/>
      <c r="G4" s="95"/>
      <c r="H4" s="92"/>
    </row>
    <row r="5" spans="1:9" ht="95.25" thickBot="1" x14ac:dyDescent="0.3">
      <c r="A5" s="481" t="s">
        <v>158</v>
      </c>
      <c r="B5" s="476" t="s">
        <v>338</v>
      </c>
      <c r="C5" s="477" t="s">
        <v>339</v>
      </c>
      <c r="D5" s="478" t="s">
        <v>333</v>
      </c>
      <c r="E5" s="476" t="s">
        <v>334</v>
      </c>
      <c r="F5" s="479" t="s">
        <v>335</v>
      </c>
      <c r="G5" s="480" t="s">
        <v>336</v>
      </c>
      <c r="H5" s="479" t="s">
        <v>337</v>
      </c>
    </row>
    <row r="6" spans="1:9" ht="15.75" x14ac:dyDescent="0.25">
      <c r="A6" s="278">
        <v>2004</v>
      </c>
      <c r="B6" s="145">
        <v>238</v>
      </c>
      <c r="C6" s="146">
        <v>201.7</v>
      </c>
      <c r="D6" s="141">
        <v>207</v>
      </c>
      <c r="E6" s="148">
        <v>175</v>
      </c>
      <c r="F6" s="147">
        <v>158</v>
      </c>
      <c r="G6" s="149">
        <v>63</v>
      </c>
      <c r="H6" s="141">
        <v>49</v>
      </c>
    </row>
    <row r="7" spans="1:9" ht="15.75" x14ac:dyDescent="0.25">
      <c r="A7" s="278">
        <v>2005</v>
      </c>
      <c r="B7" s="145">
        <v>230</v>
      </c>
      <c r="C7" s="146">
        <v>211</v>
      </c>
      <c r="D7" s="141">
        <v>207</v>
      </c>
      <c r="E7" s="148">
        <v>179</v>
      </c>
      <c r="F7" s="147">
        <v>162</v>
      </c>
      <c r="G7" s="149">
        <v>51</v>
      </c>
      <c r="H7" s="141">
        <v>45</v>
      </c>
    </row>
    <row r="8" spans="1:9" ht="15.75" x14ac:dyDescent="0.25">
      <c r="A8" s="278">
        <v>2006</v>
      </c>
      <c r="B8" s="145">
        <v>222</v>
      </c>
      <c r="C8" s="146">
        <v>230</v>
      </c>
      <c r="D8" s="141">
        <v>195</v>
      </c>
      <c r="E8" s="148">
        <v>170</v>
      </c>
      <c r="F8" s="147">
        <v>152</v>
      </c>
      <c r="G8" s="149">
        <v>52</v>
      </c>
      <c r="H8" s="141">
        <v>43</v>
      </c>
    </row>
    <row r="9" spans="1:9" ht="15.75" x14ac:dyDescent="0.25">
      <c r="A9" s="278">
        <v>2007</v>
      </c>
      <c r="B9" s="145">
        <v>259</v>
      </c>
      <c r="C9" s="146">
        <v>237</v>
      </c>
      <c r="D9" s="141">
        <v>223</v>
      </c>
      <c r="E9" s="148">
        <v>194</v>
      </c>
      <c r="F9" s="147">
        <v>169</v>
      </c>
      <c r="G9" s="149">
        <v>65</v>
      </c>
      <c r="H9" s="141">
        <v>54</v>
      </c>
    </row>
    <row r="10" spans="1:9" ht="15.75" x14ac:dyDescent="0.25">
      <c r="A10" s="278">
        <v>2008</v>
      </c>
      <c r="B10" s="145">
        <v>257</v>
      </c>
      <c r="C10" s="146">
        <v>246</v>
      </c>
      <c r="D10" s="141">
        <v>221</v>
      </c>
      <c r="E10" s="148">
        <v>203</v>
      </c>
      <c r="F10" s="147">
        <v>178</v>
      </c>
      <c r="G10" s="149">
        <v>54</v>
      </c>
      <c r="H10" s="141">
        <v>43</v>
      </c>
    </row>
    <row r="11" spans="1:9" ht="15.75" x14ac:dyDescent="0.25">
      <c r="A11" s="278">
        <v>2009</v>
      </c>
      <c r="B11" s="145">
        <v>231</v>
      </c>
      <c r="C11" s="146">
        <v>249</v>
      </c>
      <c r="D11" s="141">
        <v>185</v>
      </c>
      <c r="E11" s="148">
        <v>174</v>
      </c>
      <c r="F11" s="147">
        <v>144</v>
      </c>
      <c r="G11" s="149">
        <v>57</v>
      </c>
      <c r="H11" s="141">
        <v>41</v>
      </c>
    </row>
    <row r="12" spans="1:9" ht="15.75" x14ac:dyDescent="0.25">
      <c r="A12" s="278">
        <v>2010</v>
      </c>
      <c r="B12" s="145">
        <v>300</v>
      </c>
      <c r="C12" s="146">
        <v>262.66666666666669</v>
      </c>
      <c r="D12" s="141">
        <v>230</v>
      </c>
      <c r="E12" s="148">
        <v>233</v>
      </c>
      <c r="F12" s="147">
        <v>186</v>
      </c>
      <c r="G12" s="149">
        <v>67</v>
      </c>
      <c r="H12" s="141">
        <v>44</v>
      </c>
    </row>
    <row r="13" spans="1:9" ht="15.75" x14ac:dyDescent="0.25">
      <c r="A13" s="278">
        <v>2011</v>
      </c>
      <c r="B13" s="145">
        <v>257</v>
      </c>
      <c r="C13" s="146">
        <v>262.7</v>
      </c>
      <c r="D13" s="141">
        <v>198</v>
      </c>
      <c r="E13" s="148">
        <v>194</v>
      </c>
      <c r="F13" s="147">
        <v>155</v>
      </c>
      <c r="G13" s="149">
        <v>63</v>
      </c>
      <c r="H13" s="141">
        <v>43</v>
      </c>
    </row>
    <row r="14" spans="1:9" ht="15.75" x14ac:dyDescent="0.25">
      <c r="A14" s="278">
        <v>2012</v>
      </c>
      <c r="B14" s="249">
        <v>271</v>
      </c>
      <c r="C14" s="252">
        <v>276</v>
      </c>
      <c r="D14" s="352">
        <v>208</v>
      </c>
      <c r="E14" s="251">
        <v>209</v>
      </c>
      <c r="F14" s="250">
        <v>166</v>
      </c>
      <c r="G14" s="149">
        <v>62</v>
      </c>
      <c r="H14" s="141">
        <v>42</v>
      </c>
    </row>
    <row r="15" spans="1:9" ht="15.75" x14ac:dyDescent="0.25">
      <c r="A15" s="278">
        <v>2013</v>
      </c>
      <c r="B15" s="145">
        <v>300</v>
      </c>
      <c r="C15" s="146">
        <v>276</v>
      </c>
      <c r="D15" s="141">
        <v>234</v>
      </c>
      <c r="E15" s="148">
        <v>226</v>
      </c>
      <c r="F15" s="147">
        <v>185</v>
      </c>
      <c r="G15" s="149">
        <v>74</v>
      </c>
      <c r="H15" s="141">
        <v>49</v>
      </c>
    </row>
    <row r="16" spans="1:9" ht="16.5" thickBot="1" x14ac:dyDescent="0.3">
      <c r="A16" s="279">
        <v>2014</v>
      </c>
      <c r="B16" s="284">
        <v>228</v>
      </c>
      <c r="C16" s="285">
        <v>266.3</v>
      </c>
      <c r="D16" s="353">
        <v>193</v>
      </c>
      <c r="E16" s="151">
        <v>179</v>
      </c>
      <c r="F16" s="150">
        <v>156</v>
      </c>
      <c r="G16" s="152">
        <v>49</v>
      </c>
      <c r="H16" s="142">
        <v>37</v>
      </c>
    </row>
    <row r="17" spans="1:9" ht="15.75" x14ac:dyDescent="0.25">
      <c r="A17" s="288">
        <v>2015</v>
      </c>
      <c r="B17" s="265">
        <v>195</v>
      </c>
      <c r="C17" s="386" t="s">
        <v>258</v>
      </c>
      <c r="D17" s="354">
        <v>194</v>
      </c>
      <c r="E17" s="268">
        <v>145</v>
      </c>
      <c r="F17" s="267">
        <v>144</v>
      </c>
      <c r="G17" s="356">
        <v>50</v>
      </c>
      <c r="H17" s="267">
        <v>50</v>
      </c>
    </row>
    <row r="18" spans="1:9" ht="15.75" x14ac:dyDescent="0.25">
      <c r="A18" s="289">
        <v>2016</v>
      </c>
      <c r="B18" s="266">
        <v>225</v>
      </c>
      <c r="C18" s="112" t="s">
        <v>258</v>
      </c>
      <c r="D18" s="355">
        <v>222</v>
      </c>
      <c r="E18" s="270">
        <v>179</v>
      </c>
      <c r="F18" s="269">
        <v>177</v>
      </c>
      <c r="G18" s="357">
        <v>46</v>
      </c>
      <c r="H18" s="269">
        <v>45</v>
      </c>
    </row>
    <row r="19" spans="1:9" ht="15.75" x14ac:dyDescent="0.25">
      <c r="A19" s="289">
        <v>2017</v>
      </c>
      <c r="B19" s="266">
        <v>197</v>
      </c>
      <c r="C19" s="136">
        <v>205.66666666666666</v>
      </c>
      <c r="D19" s="355">
        <v>185</v>
      </c>
      <c r="E19" s="270">
        <v>146</v>
      </c>
      <c r="F19" s="269">
        <v>135</v>
      </c>
      <c r="G19" s="357">
        <v>51</v>
      </c>
      <c r="H19" s="269">
        <v>50</v>
      </c>
    </row>
    <row r="20" spans="1:9" s="46" customFormat="1" ht="15.75" x14ac:dyDescent="0.25">
      <c r="A20" s="289">
        <v>2018</v>
      </c>
      <c r="B20" s="266">
        <v>245</v>
      </c>
      <c r="C20" s="136">
        <v>222.33333333333334</v>
      </c>
      <c r="D20" s="355">
        <v>211</v>
      </c>
      <c r="E20" s="270">
        <v>189</v>
      </c>
      <c r="F20" s="269">
        <v>173</v>
      </c>
      <c r="G20" s="357">
        <v>56</v>
      </c>
      <c r="H20" s="269">
        <v>38</v>
      </c>
    </row>
    <row r="21" spans="1:9" ht="15.75" x14ac:dyDescent="0.25">
      <c r="A21" s="289">
        <v>2019</v>
      </c>
      <c r="B21" s="266">
        <v>234</v>
      </c>
      <c r="C21" s="136">
        <v>225.33333333333334</v>
      </c>
      <c r="D21" s="355">
        <v>222</v>
      </c>
      <c r="E21" s="270">
        <v>177</v>
      </c>
      <c r="F21" s="269">
        <v>167</v>
      </c>
      <c r="G21" s="357">
        <v>57</v>
      </c>
      <c r="H21" s="269">
        <v>55</v>
      </c>
      <c r="I21" s="383"/>
    </row>
    <row r="22" spans="1:9" ht="15.75" x14ac:dyDescent="0.25">
      <c r="A22" s="289">
        <v>2020</v>
      </c>
      <c r="B22" s="266">
        <v>224</v>
      </c>
      <c r="C22" s="136">
        <v>234.33333333333334</v>
      </c>
      <c r="D22" s="355">
        <v>217</v>
      </c>
      <c r="E22" s="270">
        <v>160</v>
      </c>
      <c r="F22" s="269">
        <v>155</v>
      </c>
      <c r="G22" s="357">
        <v>64</v>
      </c>
      <c r="H22" s="269">
        <v>62</v>
      </c>
    </row>
    <row r="23" spans="1:9" ht="15.75" x14ac:dyDescent="0.25">
      <c r="A23" s="289">
        <v>2021</v>
      </c>
      <c r="B23" s="266">
        <v>226</v>
      </c>
      <c r="C23" s="136">
        <v>228</v>
      </c>
      <c r="D23" s="355">
        <v>219</v>
      </c>
      <c r="E23" s="270">
        <v>169</v>
      </c>
      <c r="F23" s="269">
        <v>164</v>
      </c>
      <c r="G23" s="357">
        <v>57</v>
      </c>
      <c r="H23" s="269">
        <v>55</v>
      </c>
    </row>
    <row r="24" spans="1:9" ht="15.75" x14ac:dyDescent="0.25">
      <c r="A24" s="289">
        <v>2022</v>
      </c>
      <c r="B24" s="266">
        <v>237</v>
      </c>
      <c r="C24" s="136">
        <v>229</v>
      </c>
      <c r="D24" s="355">
        <v>228</v>
      </c>
      <c r="E24" s="270">
        <v>186</v>
      </c>
      <c r="F24" s="269">
        <v>179</v>
      </c>
      <c r="G24" s="357">
        <v>51</v>
      </c>
      <c r="H24" s="269">
        <v>49</v>
      </c>
      <c r="I24" s="23"/>
    </row>
    <row r="25" spans="1:9" ht="15.75" x14ac:dyDescent="0.25">
      <c r="A25" s="289">
        <v>2023</v>
      </c>
      <c r="B25" s="266">
        <v>245</v>
      </c>
      <c r="C25" s="136">
        <v>236</v>
      </c>
      <c r="D25" s="355">
        <v>238</v>
      </c>
      <c r="E25" s="270">
        <v>190</v>
      </c>
      <c r="F25" s="269">
        <v>185</v>
      </c>
      <c r="G25" s="357">
        <v>55</v>
      </c>
      <c r="H25" s="269">
        <v>53</v>
      </c>
      <c r="I25" s="23"/>
    </row>
    <row r="26" spans="1:9" ht="15.75" x14ac:dyDescent="0.25">
      <c r="I26" s="23"/>
    </row>
    <row r="27" spans="1:9" x14ac:dyDescent="0.2">
      <c r="A27" s="47"/>
    </row>
    <row r="28" spans="1:9" x14ac:dyDescent="0.2">
      <c r="A28" s="32"/>
    </row>
    <row r="29" spans="1:9" x14ac:dyDescent="0.2">
      <c r="A29" s="32"/>
      <c r="C29" s="45"/>
    </row>
    <row r="31" spans="1:9" x14ac:dyDescent="0.2">
      <c r="E31" s="2"/>
    </row>
  </sheetData>
  <hyperlinks>
    <hyperlink ref="A4" location="'Table List'!A1" display="Table list" xr:uid="{677AD2E5-25DD-413A-B3C6-BC6F5647633F}"/>
    <hyperlink ref="A3" location="Notes!A1" display="Notes" xr:uid="{01E72AA1-9E3A-4993-929A-8C8B5C2FC3D1}"/>
  </hyperlinks>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D5132-F341-45F3-A7FD-B4137874A142}">
  <sheetPr>
    <tabColor theme="6" tint="0.59999389629810485"/>
  </sheetPr>
  <dimension ref="A1:I3"/>
  <sheetViews>
    <sheetView showGridLines="0" workbookViewId="0"/>
  </sheetViews>
  <sheetFormatPr defaultRowHeight="12.75" x14ac:dyDescent="0.2"/>
  <sheetData>
    <row r="1" spans="1:9" ht="19.5" x14ac:dyDescent="0.3">
      <c r="A1" s="12" t="s">
        <v>312</v>
      </c>
    </row>
    <row r="2" spans="1:9" ht="15.75" x14ac:dyDescent="0.25">
      <c r="A2" s="97" t="s">
        <v>287</v>
      </c>
      <c r="B2" s="94"/>
      <c r="C2" s="95"/>
      <c r="D2" s="95"/>
      <c r="E2" s="95"/>
      <c r="F2" s="95"/>
      <c r="G2" s="95"/>
    </row>
    <row r="3" spans="1:9" ht="15.75" x14ac:dyDescent="0.25">
      <c r="A3" s="98" t="s">
        <v>197</v>
      </c>
      <c r="B3" s="94"/>
      <c r="C3" s="95"/>
      <c r="D3" s="95"/>
      <c r="E3" s="95"/>
      <c r="F3" s="95"/>
      <c r="G3" s="95"/>
      <c r="H3" s="92"/>
      <c r="I3" s="96"/>
    </row>
  </sheetData>
  <hyperlinks>
    <hyperlink ref="A3" location="'Table List'!A1" display="Table list" xr:uid="{32385480-1E20-4396-91CB-324775F36C12}"/>
    <hyperlink ref="A2" location="Notes!A1" display="Notes" xr:uid="{BDA00EA0-AADC-4B33-8AB8-4370CE1E047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6" tint="0.59999389629810485"/>
  </sheetPr>
  <dimension ref="A1:H19"/>
  <sheetViews>
    <sheetView showGridLines="0" workbookViewId="0">
      <pane ySplit="5" topLeftCell="A6" activePane="bottomLeft" state="frozen"/>
      <selection pane="bottomLeft"/>
    </sheetView>
  </sheetViews>
  <sheetFormatPr defaultRowHeight="12.75" x14ac:dyDescent="0.2"/>
  <cols>
    <col min="1" max="1" width="19.42578125" customWidth="1"/>
    <col min="2" max="2" width="20.42578125" bestFit="1" customWidth="1"/>
    <col min="3" max="3" width="19.5703125" bestFit="1" customWidth="1"/>
    <col min="4" max="4" width="22.5703125" bestFit="1" customWidth="1"/>
    <col min="5" max="5" width="18.42578125" customWidth="1"/>
    <col min="6" max="6" width="18.5703125" bestFit="1" customWidth="1"/>
    <col min="7" max="7" width="20.5703125" bestFit="1" customWidth="1"/>
  </cols>
  <sheetData>
    <row r="1" spans="1:8" ht="19.5" x14ac:dyDescent="0.3">
      <c r="A1" s="12" t="s">
        <v>314</v>
      </c>
      <c r="B1" s="7"/>
      <c r="C1" s="7"/>
      <c r="D1" s="7"/>
      <c r="E1" s="7"/>
    </row>
    <row r="2" spans="1:8" ht="19.5" x14ac:dyDescent="0.3">
      <c r="A2" s="12" t="s">
        <v>313</v>
      </c>
      <c r="B2" s="7"/>
      <c r="C2" s="7"/>
      <c r="D2" s="7"/>
      <c r="E2" s="7"/>
      <c r="H2" s="31"/>
    </row>
    <row r="3" spans="1:8" ht="15.75" x14ac:dyDescent="0.25">
      <c r="A3" s="97" t="s">
        <v>196</v>
      </c>
      <c r="B3" s="94"/>
      <c r="C3" s="95"/>
      <c r="D3" s="95"/>
      <c r="E3" s="95"/>
      <c r="F3" s="95"/>
      <c r="G3" s="95"/>
    </row>
    <row r="4" spans="1:8" ht="16.5" thickBot="1" x14ac:dyDescent="0.3">
      <c r="A4" s="98" t="s">
        <v>197</v>
      </c>
      <c r="B4" s="94"/>
      <c r="C4" s="95"/>
      <c r="D4" s="95"/>
      <c r="E4" s="95"/>
      <c r="F4" s="95"/>
      <c r="G4" s="95"/>
      <c r="H4" s="92"/>
    </row>
    <row r="5" spans="1:8" ht="16.5" thickBot="1" x14ac:dyDescent="0.3">
      <c r="A5" s="273" t="s">
        <v>245</v>
      </c>
      <c r="B5" s="339" t="s">
        <v>11</v>
      </c>
      <c r="C5" s="340" t="s">
        <v>159</v>
      </c>
      <c r="D5" s="341" t="s">
        <v>160</v>
      </c>
      <c r="E5" s="342" t="s">
        <v>158</v>
      </c>
      <c r="F5" s="340" t="s">
        <v>161</v>
      </c>
      <c r="G5" s="343" t="s">
        <v>162</v>
      </c>
    </row>
    <row r="6" spans="1:8" ht="15.75" x14ac:dyDescent="0.25">
      <c r="A6" s="280">
        <v>2015</v>
      </c>
      <c r="B6" s="186">
        <v>13.4</v>
      </c>
      <c r="C6" s="187">
        <v>21.6</v>
      </c>
      <c r="D6" s="200">
        <v>5.6</v>
      </c>
      <c r="E6" s="271">
        <v>11.8</v>
      </c>
      <c r="F6" s="272">
        <v>18.100000000000001</v>
      </c>
      <c r="G6" s="272">
        <v>5.9</v>
      </c>
    </row>
    <row r="7" spans="1:8" ht="15.75" x14ac:dyDescent="0.25">
      <c r="A7" s="280">
        <v>2016</v>
      </c>
      <c r="B7" s="186">
        <v>11.9</v>
      </c>
      <c r="C7" s="187">
        <v>18.5</v>
      </c>
      <c r="D7" s="200">
        <v>5.5</v>
      </c>
      <c r="E7" s="271">
        <v>13.7</v>
      </c>
      <c r="F7" s="272">
        <v>22.2</v>
      </c>
      <c r="G7" s="272">
        <v>5.5</v>
      </c>
    </row>
    <row r="8" spans="1:8" ht="15.75" x14ac:dyDescent="0.25">
      <c r="A8" s="280">
        <v>2017</v>
      </c>
      <c r="B8" s="186">
        <v>12.1</v>
      </c>
      <c r="C8" s="187">
        <v>18.8</v>
      </c>
      <c r="D8" s="200">
        <v>5.7</v>
      </c>
      <c r="E8" s="271">
        <v>12</v>
      </c>
      <c r="F8" s="272">
        <v>18.2</v>
      </c>
      <c r="G8" s="272">
        <v>6.1</v>
      </c>
    </row>
    <row r="9" spans="1:8" ht="15.75" x14ac:dyDescent="0.25">
      <c r="A9" s="280">
        <v>2018</v>
      </c>
      <c r="B9" s="186">
        <v>14.3</v>
      </c>
      <c r="C9" s="187">
        <v>21.7</v>
      </c>
      <c r="D9" s="200">
        <v>7.2</v>
      </c>
      <c r="E9" s="271">
        <v>14.9</v>
      </c>
      <c r="F9" s="272">
        <v>23.2</v>
      </c>
      <c r="G9" s="272">
        <v>6.8</v>
      </c>
    </row>
    <row r="10" spans="1:8" ht="15.75" x14ac:dyDescent="0.25">
      <c r="A10" s="280">
        <v>2019</v>
      </c>
      <c r="B10" s="186">
        <v>12.4</v>
      </c>
      <c r="C10" s="187">
        <v>19</v>
      </c>
      <c r="D10" s="200">
        <v>6</v>
      </c>
      <c r="E10" s="271">
        <v>14</v>
      </c>
      <c r="F10" s="272">
        <v>21.8</v>
      </c>
      <c r="G10" s="272">
        <v>6.7</v>
      </c>
    </row>
    <row r="11" spans="1:8" ht="15.75" x14ac:dyDescent="0.25">
      <c r="A11" s="280">
        <v>2020</v>
      </c>
      <c r="B11" s="186">
        <v>13.2</v>
      </c>
      <c r="C11" s="187">
        <v>19.600000000000001</v>
      </c>
      <c r="D11" s="200">
        <v>7</v>
      </c>
      <c r="E11" s="271">
        <v>13.5</v>
      </c>
      <c r="F11" s="272">
        <v>19.7</v>
      </c>
      <c r="G11" s="272">
        <v>7.6</v>
      </c>
    </row>
    <row r="12" spans="1:8" s="27" customFormat="1" ht="15.75" x14ac:dyDescent="0.25">
      <c r="A12" s="280">
        <v>2021</v>
      </c>
      <c r="B12" s="186">
        <v>14.3</v>
      </c>
      <c r="C12" s="187">
        <v>21.6</v>
      </c>
      <c r="D12" s="200">
        <v>7.2</v>
      </c>
      <c r="E12" s="271">
        <v>13.7</v>
      </c>
      <c r="F12" s="272">
        <v>20.8</v>
      </c>
      <c r="G12" s="272">
        <v>6.9</v>
      </c>
    </row>
    <row r="13" spans="1:8" s="15" customFormat="1" ht="15.75" x14ac:dyDescent="0.25">
      <c r="A13" s="280">
        <v>2022</v>
      </c>
      <c r="B13" s="186">
        <v>12.3</v>
      </c>
      <c r="C13" s="187">
        <v>19.2</v>
      </c>
      <c r="D13" s="200">
        <v>5.7</v>
      </c>
      <c r="E13" s="271">
        <v>14.3</v>
      </c>
      <c r="F13" s="272">
        <v>22.9</v>
      </c>
      <c r="G13" s="272">
        <v>6.1</v>
      </c>
    </row>
    <row r="14" spans="1:8" s="15" customFormat="1" ht="15.75" x14ac:dyDescent="0.25">
      <c r="A14" s="280">
        <v>2023</v>
      </c>
      <c r="B14" s="186">
        <v>13.3</v>
      </c>
      <c r="C14" s="187">
        <v>20.9</v>
      </c>
      <c r="D14" s="200">
        <v>5.9</v>
      </c>
      <c r="E14" s="271">
        <v>14.8</v>
      </c>
      <c r="F14" s="272">
        <v>23.1</v>
      </c>
      <c r="G14" s="272">
        <v>6.6</v>
      </c>
      <c r="H14" s="23"/>
    </row>
    <row r="15" spans="1:8" ht="15.75" x14ac:dyDescent="0.25">
      <c r="A15" s="280">
        <v>2024</v>
      </c>
      <c r="B15" s="186">
        <v>17.399999999999999</v>
      </c>
      <c r="C15" s="187">
        <v>28</v>
      </c>
      <c r="D15" s="200">
        <v>7.1</v>
      </c>
      <c r="E15" s="271" t="s">
        <v>14</v>
      </c>
      <c r="F15" s="272" t="s">
        <v>14</v>
      </c>
      <c r="G15" s="272" t="s">
        <v>14</v>
      </c>
    </row>
    <row r="19" spans="3:7" x14ac:dyDescent="0.2">
      <c r="C19" s="45"/>
      <c r="D19" s="45"/>
      <c r="E19" s="45"/>
      <c r="F19" s="45"/>
      <c r="G19" s="45"/>
    </row>
  </sheetData>
  <hyperlinks>
    <hyperlink ref="A4" location="'Table List'!A1" display="Table list" xr:uid="{65F2D97B-8697-42D8-A51C-504D72D1E4B2}"/>
    <hyperlink ref="A3" location="Notes!A1" display="Notes" xr:uid="{68045922-697B-48EB-9B41-D4D71F797513}"/>
  </hyperlinks>
  <pageMargins left="0.7" right="0.7" top="0.75" bottom="0.75" header="0.3" footer="0.3"/>
  <pageSetup orientation="portrait" horizontalDpi="90" verticalDpi="90"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59F5B-01D3-49D4-9C5E-A0E13025E41B}">
  <sheetPr>
    <tabColor theme="6" tint="0.59999389629810485"/>
  </sheetPr>
  <dimension ref="A1:N9"/>
  <sheetViews>
    <sheetView showGridLines="0" workbookViewId="0"/>
  </sheetViews>
  <sheetFormatPr defaultRowHeight="12.75" x14ac:dyDescent="0.2"/>
  <sheetData>
    <row r="1" spans="1:14" ht="19.5" x14ac:dyDescent="0.3">
      <c r="A1" s="12" t="s">
        <v>315</v>
      </c>
    </row>
    <row r="2" spans="1:14" ht="15.75" x14ac:dyDescent="0.25">
      <c r="A2" s="97" t="s">
        <v>287</v>
      </c>
      <c r="B2" s="94"/>
      <c r="C2" s="95"/>
      <c r="D2" s="95"/>
      <c r="E2" s="95"/>
      <c r="F2" s="95"/>
      <c r="G2" s="95"/>
    </row>
    <row r="3" spans="1:14" ht="15.75" x14ac:dyDescent="0.25">
      <c r="A3" s="98" t="s">
        <v>197</v>
      </c>
      <c r="B3" s="94"/>
      <c r="C3" s="95"/>
      <c r="D3" s="95"/>
      <c r="E3" s="95"/>
      <c r="F3" s="95"/>
      <c r="G3" s="95"/>
      <c r="H3" s="92"/>
      <c r="I3" s="96"/>
    </row>
    <row r="9" spans="1:14" x14ac:dyDescent="0.2">
      <c r="N9" s="115"/>
    </row>
  </sheetData>
  <hyperlinks>
    <hyperlink ref="A3" location="'Table List'!A1" display="Table list" xr:uid="{B4EC10AB-9D01-4FAF-88D8-6D2C077A705E}"/>
    <hyperlink ref="A2" location="Notes!A1" display="Notes" xr:uid="{863F95E1-EE28-4C43-AD87-30D8750353D4}"/>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Cover Sheet</vt:lpstr>
      <vt:lpstr>Guidance</vt:lpstr>
      <vt:lpstr>Table List</vt:lpstr>
      <vt:lpstr>Notes</vt:lpstr>
      <vt:lpstr>Table1</vt:lpstr>
      <vt:lpstr>Figure1</vt:lpstr>
      <vt:lpstr>Table2</vt:lpstr>
      <vt:lpstr>Figure2</vt:lpstr>
      <vt:lpstr>Table3</vt:lpstr>
      <vt:lpstr>Figure3</vt:lpstr>
      <vt:lpstr>Table4</vt:lpstr>
      <vt:lpstr>Figure4</vt:lpstr>
      <vt:lpstr>Table5</vt:lpstr>
      <vt:lpstr>Table6</vt:lpstr>
      <vt:lpstr>Table7</vt:lpstr>
      <vt:lpstr>Table8</vt:lpstr>
      <vt:lpstr>Figure5</vt:lpstr>
      <vt:lpstr>Table9</vt:lpstr>
      <vt:lpstr>Table10</vt:lpstr>
      <vt:lpstr>Table11</vt:lpstr>
      <vt:lpstr>Table12</vt:lpstr>
      <vt:lpstr>Figure6</vt:lpstr>
      <vt:lpstr>Table13</vt:lpstr>
      <vt:lpstr>Figure7</vt:lpstr>
      <vt:lpstr>Table14</vt:lpstr>
      <vt:lpstr>Table15</vt:lpstr>
      <vt:lpstr>Table16</vt:lpstr>
      <vt:lpstr>Figure8</vt:lpstr>
      <vt:lpstr>Table17</vt:lpstr>
      <vt:lpstr>Figure 9</vt:lpstr>
    </vt:vector>
  </TitlesOfParts>
  <Company>DFP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Suicides in Northern Ireland 2024</dc:title>
  <dc:subject>suicide</dc:subject>
  <dc:creator>NISRA Vital Statistics Unit</dc:creator>
  <cp:keywords>deaths, suicides</cp:keywords>
  <cp:lastModifiedBy>Gordon, Carly</cp:lastModifiedBy>
  <cp:lastPrinted>2013-01-22T13:27:29Z</cp:lastPrinted>
  <dcterms:created xsi:type="dcterms:W3CDTF">2008-03-31T11:41:16Z</dcterms:created>
  <dcterms:modified xsi:type="dcterms:W3CDTF">2025-11-19T18:03:56Z</dcterms:modified>
  <cp:category>Deaths</cp:category>
</cp:coreProperties>
</file>